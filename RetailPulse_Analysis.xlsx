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3"/>
    <sheet name="Orders_Clean" sheetId="2" state="visible" r:id="rId4"/>
    <sheet name="KPI_Summary" sheetId="3" state="visible" r:id="rId5"/>
    <sheet name="Category_Analysis" sheetId="4" state="visible" r:id="rId6"/>
    <sheet name="Regional_Analysis" sheetId="5" state="visible" r:id="rId7"/>
    <sheet name="Product_Analysis" sheetId="6" state="visible" r:id="rId8"/>
    <sheet name="Monthly_Analysis" sheetId="7" state="visible" r:id="rId9"/>
    <sheet name="Channel_Customer_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<sst xmlns="http://schemas.openxmlformats.org/spreadsheetml/2006/main" count="7650" uniqueCount="1525">
  <si>
    <t xml:space="preserve">RETAILPULSE BI — DATA QUALITY AUDIT</t>
  </si>
  <si>
    <t xml:space="preserve">Raw rows loaded: 862    |    Clean rows after audit: 831    |    Rows removed: 31</t>
  </si>
  <si>
    <t xml:space="preserve">Check</t>
  </si>
  <si>
    <t xml:space="preserve">Result (rows found)</t>
  </si>
  <si>
    <t xml:space="preserve">Action Taken</t>
  </si>
  <si>
    <t xml:space="preserve">Notes</t>
  </si>
  <si>
    <t xml:space="preserve">Duplicate Orders</t>
  </si>
  <si>
    <t xml:space="preserve">Removed</t>
  </si>
  <si>
    <t xml:space="preserve">Exact duplicate rows dropped, first occurrence kept</t>
  </si>
  <si>
    <t xml:space="preserve">Missing Product IDs</t>
  </si>
  <si>
    <t xml:space="preserve">Cannot map to a product; excluded from analysis</t>
  </si>
  <si>
    <t xml:space="preserve">Missing Order Dates</t>
  </si>
  <si>
    <t xml:space="preserve">Cannot be placed on a time trend; excluded</t>
  </si>
  <si>
    <t xml:space="preserve">Invalid Quantity (&lt;=0)</t>
  </si>
  <si>
    <t xml:space="preserve">Negative/zero quantity is not a valid sale</t>
  </si>
  <si>
    <t xml:space="preserve">Missing Region</t>
  </si>
  <si>
    <t xml:space="preserve">Handled</t>
  </si>
  <si>
    <t xml:space="preserve">Filled as 'Unknown' region/state, row kept</t>
  </si>
  <si>
    <t xml:space="preserve">Invalid Discount (&lt;0 or &gt;90%)</t>
  </si>
  <si>
    <t xml:space="preserve">Corrected</t>
  </si>
  <si>
    <t xml:space="preserve">Clipped to a valid 0%-90% range</t>
  </si>
  <si>
    <t xml:space="preserve">Missing Customer ID</t>
  </si>
  <si>
    <t xml:space="preserve">Filled as 'Unknown Customer', row kept</t>
  </si>
  <si>
    <t xml:space="preserve">Conclusion</t>
  </si>
  <si>
    <t xml:space="preserve">The raw export contained duplicate transactions, missing keys and a few invalid values. After the audit, the dataset is reliable enough for revenue and profit analysis. The cleaned data lives in the 'Orders_Clean' sheet and is the single source used everywhere else in this workbook.</t>
  </si>
  <si>
    <t xml:space="preserve">Order_ID</t>
  </si>
  <si>
    <t xml:space="preserve">Order_Date</t>
  </si>
  <si>
    <t xml:space="preserve">Customer_ID</t>
  </si>
  <si>
    <t xml:space="preserve">Product_ID</t>
  </si>
  <si>
    <t xml:space="preserve">Product_Name</t>
  </si>
  <si>
    <t xml:space="preserve">Category</t>
  </si>
  <si>
    <t xml:space="preserve">Region</t>
  </si>
  <si>
    <t xml:space="preserve">State</t>
  </si>
  <si>
    <t xml:space="preserve">Sales_Channel</t>
  </si>
  <si>
    <t xml:space="preserve">Quantity</t>
  </si>
  <si>
    <t xml:space="preserve">Unit_Price</t>
  </si>
  <si>
    <t xml:space="preserve">Discount</t>
  </si>
  <si>
    <t xml:space="preserve">Cost</t>
  </si>
  <si>
    <t xml:space="preserve">Revenue</t>
  </si>
  <si>
    <t xml:space="preserve">Profit</t>
  </si>
  <si>
    <t xml:space="preserve">Profit_Margin</t>
  </si>
  <si>
    <t xml:space="preserve">Month</t>
  </si>
  <si>
    <t xml:space="preserve">Year_Month</t>
  </si>
  <si>
    <t xml:space="preserve">ORD-100722</t>
  </si>
  <si>
    <t xml:space="preserve">2024-07-08</t>
  </si>
  <si>
    <t xml:space="preserve">CUST-1045</t>
  </si>
  <si>
    <t xml:space="preserve">P-5009</t>
  </si>
  <si>
    <t xml:space="preserve">Non-Stick Pan</t>
  </si>
  <si>
    <t xml:space="preserve">Home &amp; Kitchen</t>
  </si>
  <si>
    <t xml:space="preserve">West</t>
  </si>
  <si>
    <t xml:space="preserve">Goa</t>
  </si>
  <si>
    <t xml:space="preserve">Online</t>
  </si>
  <si>
    <t xml:space="preserve">ORD-100729</t>
  </si>
  <si>
    <t xml:space="preserve">2024-12-02</t>
  </si>
  <si>
    <t xml:space="preserve">CUST-1051</t>
  </si>
  <si>
    <t xml:space="preserve">P-5004</t>
  </si>
  <si>
    <t xml:space="preserve">Power Bank</t>
  </si>
  <si>
    <t xml:space="preserve">Electronics</t>
  </si>
  <si>
    <t xml:space="preserve">Maharashtra</t>
  </si>
  <si>
    <t xml:space="preserve">ORD-100410</t>
  </si>
  <si>
    <t xml:space="preserve">2024-06-27</t>
  </si>
  <si>
    <t xml:space="preserve">CUST-1036</t>
  </si>
  <si>
    <t xml:space="preserve">P-5017</t>
  </si>
  <si>
    <t xml:space="preserve">Men's T-Shirt</t>
  </si>
  <si>
    <t xml:space="preserve">Fashion</t>
  </si>
  <si>
    <t xml:space="preserve">North</t>
  </si>
  <si>
    <t xml:space="preserve">Delhi</t>
  </si>
  <si>
    <t xml:space="preserve">ORD-100472</t>
  </si>
  <si>
    <t xml:space="preserve">2024-12-28</t>
  </si>
  <si>
    <t xml:space="preserve">CUST-1003</t>
  </si>
  <si>
    <t xml:space="preserve">P-5039</t>
  </si>
  <si>
    <t xml:space="preserve">Skipping Rope</t>
  </si>
  <si>
    <t xml:space="preserve">Sports &amp; Fitness</t>
  </si>
  <si>
    <t xml:space="preserve">South</t>
  </si>
  <si>
    <t xml:space="preserve">Karnataka</t>
  </si>
  <si>
    <t xml:space="preserve">Store</t>
  </si>
  <si>
    <t xml:space="preserve">ORD-100081</t>
  </si>
  <si>
    <t xml:space="preserve">2024-11-27</t>
  </si>
  <si>
    <t xml:space="preserve">CUST-1129</t>
  </si>
  <si>
    <t xml:space="preserve">P-5038</t>
  </si>
  <si>
    <t xml:space="preserve">Cycling Helmet</t>
  </si>
  <si>
    <t xml:space="preserve">East</t>
  </si>
  <si>
    <t xml:space="preserve">West Bengal</t>
  </si>
  <si>
    <t xml:space="preserve">ORD-100057</t>
  </si>
  <si>
    <t xml:space="preserve">2024-04-22</t>
  </si>
  <si>
    <t xml:space="preserve">CUST-1108</t>
  </si>
  <si>
    <t xml:space="preserve">P-5027</t>
  </si>
  <si>
    <t xml:space="preserve">Shampoo</t>
  </si>
  <si>
    <t xml:space="preserve">Beauty &amp; Personal Care</t>
  </si>
  <si>
    <t xml:space="preserve">ORD-100673</t>
  </si>
  <si>
    <t xml:space="preserve">2024-12-04</t>
  </si>
  <si>
    <t xml:space="preserve">Unknown Customer</t>
  </si>
  <si>
    <t xml:space="preserve">ORD-100518</t>
  </si>
  <si>
    <t xml:space="preserve">2024-11-04</t>
  </si>
  <si>
    <t xml:space="preserve">CUST-1059</t>
  </si>
  <si>
    <t xml:space="preserve">P-5015</t>
  </si>
  <si>
    <t xml:space="preserve">Table Lamp</t>
  </si>
  <si>
    <t xml:space="preserve">ORD-100719</t>
  </si>
  <si>
    <t xml:space="preserve">2024-06-10</t>
  </si>
  <si>
    <t xml:space="preserve">CUST-1176</t>
  </si>
  <si>
    <t xml:space="preserve">Gujarat</t>
  </si>
  <si>
    <t xml:space="preserve">ORD-100735</t>
  </si>
  <si>
    <t xml:space="preserve">2024-07-27</t>
  </si>
  <si>
    <t xml:space="preserve">CUST-1044</t>
  </si>
  <si>
    <t xml:space="preserve">P-5010</t>
  </si>
  <si>
    <t xml:space="preserve">Air Fryer</t>
  </si>
  <si>
    <t xml:space="preserve">Punjab</t>
  </si>
  <si>
    <t xml:space="preserve">ORD-100572</t>
  </si>
  <si>
    <t xml:space="preserve">CUST-1096</t>
  </si>
  <si>
    <t xml:space="preserve">Assam</t>
  </si>
  <si>
    <t xml:space="preserve">ORD-100126</t>
  </si>
  <si>
    <t xml:space="preserve">2024-11-02</t>
  </si>
  <si>
    <t xml:space="preserve">CUST-1048</t>
  </si>
  <si>
    <t xml:space="preserve">P-5001</t>
  </si>
  <si>
    <t xml:space="preserve">Wireless Earbuds</t>
  </si>
  <si>
    <t xml:space="preserve">Kerala</t>
  </si>
  <si>
    <t xml:space="preserve">ORD-100209</t>
  </si>
  <si>
    <t xml:space="preserve">2024-06-04</t>
  </si>
  <si>
    <t xml:space="preserve">CUST-1161</t>
  </si>
  <si>
    <t xml:space="preserve">P-5032</t>
  </si>
  <si>
    <t xml:space="preserve">Sunscreen</t>
  </si>
  <si>
    <t xml:space="preserve">ORD-100633</t>
  </si>
  <si>
    <t xml:space="preserve">2024-03-12</t>
  </si>
  <si>
    <t xml:space="preserve">CUST-1126</t>
  </si>
  <si>
    <t xml:space="preserve">P-5022</t>
  </si>
  <si>
    <t xml:space="preserve">Sunglasses</t>
  </si>
  <si>
    <t xml:space="preserve">Uttar Pradesh</t>
  </si>
  <si>
    <t xml:space="preserve">ORD-100131</t>
  </si>
  <si>
    <t xml:space="preserve">2024-08-30</t>
  </si>
  <si>
    <t xml:space="preserve">CUST-1081</t>
  </si>
  <si>
    <t xml:space="preserve">P-5040</t>
  </si>
  <si>
    <t xml:space="preserve">Gym Bag</t>
  </si>
  <si>
    <t xml:space="preserve">ORD-100688</t>
  </si>
  <si>
    <t xml:space="preserve">2024-09-16</t>
  </si>
  <si>
    <t xml:space="preserve">CUST-1004</t>
  </si>
  <si>
    <t xml:space="preserve">P-5035</t>
  </si>
  <si>
    <t xml:space="preserve">Resistance Bands</t>
  </si>
  <si>
    <t xml:space="preserve">ORD-100749</t>
  </si>
  <si>
    <t xml:space="preserve">2024-01-17</t>
  </si>
  <si>
    <t xml:space="preserve">CUST-1138</t>
  </si>
  <si>
    <t xml:space="preserve">P-5002</t>
  </si>
  <si>
    <t xml:space="preserve">Bluetooth Speaker</t>
  </si>
  <si>
    <t xml:space="preserve">ORD-100415</t>
  </si>
  <si>
    <t xml:space="preserve">2024-07-26</t>
  </si>
  <si>
    <t xml:space="preserve">P-5012</t>
  </si>
  <si>
    <t xml:space="preserve">Blender</t>
  </si>
  <si>
    <t xml:space="preserve">ORD-100676</t>
  </si>
  <si>
    <t xml:space="preserve">2024-01-22</t>
  </si>
  <si>
    <t xml:space="preserve">CUST-1031</t>
  </si>
  <si>
    <t xml:space="preserve">P-5031</t>
  </si>
  <si>
    <t xml:space="preserve">Trimmer</t>
  </si>
  <si>
    <t xml:space="preserve">ORD-100036</t>
  </si>
  <si>
    <t xml:space="preserve">2024-12-15</t>
  </si>
  <si>
    <t xml:space="preserve">CUST-1053</t>
  </si>
  <si>
    <t xml:space="preserve">P-5007</t>
  </si>
  <si>
    <t xml:space="preserve">Laptop Stand</t>
  </si>
  <si>
    <t xml:space="preserve">ORD-100177</t>
  </si>
  <si>
    <t xml:space="preserve">2024-02-28</t>
  </si>
  <si>
    <t xml:space="preserve">CUST-1179</t>
  </si>
  <si>
    <t xml:space="preserve">ORD-100182</t>
  </si>
  <si>
    <t xml:space="preserve">2024-06-30</t>
  </si>
  <si>
    <t xml:space="preserve">CUST-1105</t>
  </si>
  <si>
    <t xml:space="preserve">P-5006</t>
  </si>
  <si>
    <t xml:space="preserve">LED Monitor</t>
  </si>
  <si>
    <t xml:space="preserve">ORD-100042</t>
  </si>
  <si>
    <t xml:space="preserve">2024-06-28</t>
  </si>
  <si>
    <t xml:space="preserve">CUST-1071</t>
  </si>
  <si>
    <t xml:space="preserve">ORD-100336</t>
  </si>
  <si>
    <t xml:space="preserve">2024-07-21</t>
  </si>
  <si>
    <t xml:space="preserve">CUST-1005</t>
  </si>
  <si>
    <t xml:space="preserve">P-5030</t>
  </si>
  <si>
    <t xml:space="preserve">Lipstick Set</t>
  </si>
  <si>
    <t xml:space="preserve">Rajasthan</t>
  </si>
  <si>
    <t xml:space="preserve">ORD-100402</t>
  </si>
  <si>
    <t xml:space="preserve">2024-11-20</t>
  </si>
  <si>
    <t xml:space="preserve">CUST-1035</t>
  </si>
  <si>
    <t xml:space="preserve">P-5034</t>
  </si>
  <si>
    <t xml:space="preserve">Dumbbell Set</t>
  </si>
  <si>
    <t xml:space="preserve">ORD-100541</t>
  </si>
  <si>
    <t xml:space="preserve">2024-02-29</t>
  </si>
  <si>
    <t xml:space="preserve">CUST-1121</t>
  </si>
  <si>
    <t xml:space="preserve">P-5029</t>
  </si>
  <si>
    <t xml:space="preserve">Perfume</t>
  </si>
  <si>
    <t xml:space="preserve">ORD-100308</t>
  </si>
  <si>
    <t xml:space="preserve">2024-03-03</t>
  </si>
  <si>
    <t xml:space="preserve">CUST-1073</t>
  </si>
  <si>
    <t xml:space="preserve">Bihar</t>
  </si>
  <si>
    <t xml:space="preserve">ORD-100795</t>
  </si>
  <si>
    <t xml:space="preserve">2024-07-18</t>
  </si>
  <si>
    <t xml:space="preserve">ORD-100334</t>
  </si>
  <si>
    <t xml:space="preserve">2024-09-18</t>
  </si>
  <si>
    <t xml:space="preserve">CUST-1023</t>
  </si>
  <si>
    <t xml:space="preserve">ORD-100650</t>
  </si>
  <si>
    <t xml:space="preserve">2024-05-08</t>
  </si>
  <si>
    <t xml:space="preserve">ORD-100800</t>
  </si>
  <si>
    <t xml:space="preserve">2024-02-15</t>
  </si>
  <si>
    <t xml:space="preserve">CUST-1095</t>
  </si>
  <si>
    <t xml:space="preserve">P-5020</t>
  </si>
  <si>
    <t xml:space="preserve">Running Shoes</t>
  </si>
  <si>
    <t xml:space="preserve">ORD-100019</t>
  </si>
  <si>
    <t xml:space="preserve">2024-05-31</t>
  </si>
  <si>
    <t xml:space="preserve">P-5036</t>
  </si>
  <si>
    <t xml:space="preserve">Cricket Bat</t>
  </si>
  <si>
    <t xml:space="preserve">ORD-100511</t>
  </si>
  <si>
    <t xml:space="preserve">2024-04-02</t>
  </si>
  <si>
    <t xml:space="preserve">CUST-1069</t>
  </si>
  <si>
    <t xml:space="preserve">P-5028</t>
  </si>
  <si>
    <t xml:space="preserve">Hair Dryer</t>
  </si>
  <si>
    <t xml:space="preserve">ORD-100041</t>
  </si>
  <si>
    <t xml:space="preserve">2024-12-03</t>
  </si>
  <si>
    <t xml:space="preserve">CUST-1006</t>
  </si>
  <si>
    <t xml:space="preserve">Tamil Nadu</t>
  </si>
  <si>
    <t xml:space="preserve">ORD-100716</t>
  </si>
  <si>
    <t xml:space="preserve">2024-05-10</t>
  </si>
  <si>
    <t xml:space="preserve">CUST-1034</t>
  </si>
  <si>
    <t xml:space="preserve">P-5008</t>
  </si>
  <si>
    <t xml:space="preserve">USB-C Hub</t>
  </si>
  <si>
    <t xml:space="preserve">Haryana</t>
  </si>
  <si>
    <t xml:space="preserve">ORD-100205</t>
  </si>
  <si>
    <t xml:space="preserve">2024-03-16</t>
  </si>
  <si>
    <t xml:space="preserve">CUST-1165</t>
  </si>
  <si>
    <t xml:space="preserve">ORD-100543</t>
  </si>
  <si>
    <t xml:space="preserve">2024-07-14</t>
  </si>
  <si>
    <t xml:space="preserve">CUST-1094</t>
  </si>
  <si>
    <t xml:space="preserve">ORD-100405</t>
  </si>
  <si>
    <t xml:space="preserve">2024-05-07</t>
  </si>
  <si>
    <t xml:space="preserve">CUST-1027</t>
  </si>
  <si>
    <t xml:space="preserve">P-5018</t>
  </si>
  <si>
    <t xml:space="preserve">Women's Kurti</t>
  </si>
  <si>
    <t xml:space="preserve">ORD-100184</t>
  </si>
  <si>
    <t xml:space="preserve">2024-09-03</t>
  </si>
  <si>
    <t xml:space="preserve">CUST-1168</t>
  </si>
  <si>
    <t xml:space="preserve">ORD-100236</t>
  </si>
  <si>
    <t xml:space="preserve">2024-03-17</t>
  </si>
  <si>
    <t xml:space="preserve">CUST-1055</t>
  </si>
  <si>
    <t xml:space="preserve">ORD-100234</t>
  </si>
  <si>
    <t xml:space="preserve">2024-01-20</t>
  </si>
  <si>
    <t xml:space="preserve">Odisha</t>
  </si>
  <si>
    <t xml:space="preserve">ORD-100677</t>
  </si>
  <si>
    <t xml:space="preserve">2024-04-17</t>
  </si>
  <si>
    <t xml:space="preserve">CUST-1078</t>
  </si>
  <si>
    <t xml:space="preserve">ORD-100132</t>
  </si>
  <si>
    <t xml:space="preserve">2024-03-05</t>
  </si>
  <si>
    <t xml:space="preserve">CUST-1009</t>
  </si>
  <si>
    <t xml:space="preserve">P-5026</t>
  </si>
  <si>
    <t xml:space="preserve">Moisturizer Cream</t>
  </si>
  <si>
    <t xml:space="preserve">ORD-100817</t>
  </si>
  <si>
    <t xml:space="preserve">2024-04-20</t>
  </si>
  <si>
    <t xml:space="preserve">CUST-1019</t>
  </si>
  <si>
    <t xml:space="preserve">P-5005</t>
  </si>
  <si>
    <t xml:space="preserve">Smart Watch</t>
  </si>
  <si>
    <t xml:space="preserve">ORD-100674</t>
  </si>
  <si>
    <t xml:space="preserve">2024-10-06</t>
  </si>
  <si>
    <t xml:space="preserve">CUST-1100</t>
  </si>
  <si>
    <t xml:space="preserve">ORD-100801</t>
  </si>
  <si>
    <t xml:space="preserve">2024-01-31</t>
  </si>
  <si>
    <t xml:space="preserve">CUST-1160</t>
  </si>
  <si>
    <t xml:space="preserve">ORD-100332</t>
  </si>
  <si>
    <t xml:space="preserve">2024-02-27</t>
  </si>
  <si>
    <t xml:space="preserve">CUST-1144</t>
  </si>
  <si>
    <t xml:space="preserve">P-5037</t>
  </si>
  <si>
    <t xml:space="preserve">Football</t>
  </si>
  <si>
    <t xml:space="preserve">ORD-100777</t>
  </si>
  <si>
    <t xml:space="preserve">CUST-1088</t>
  </si>
  <si>
    <t xml:space="preserve">ORD-100582</t>
  </si>
  <si>
    <t xml:space="preserve">CUST-1167</t>
  </si>
  <si>
    <t xml:space="preserve">Telangana</t>
  </si>
  <si>
    <t xml:space="preserve">ORD-100112</t>
  </si>
  <si>
    <t xml:space="preserve">2024-11-05</t>
  </si>
  <si>
    <t xml:space="preserve">CUST-1082</t>
  </si>
  <si>
    <t xml:space="preserve">ORD-100608</t>
  </si>
  <si>
    <t xml:space="preserve">2024-05-11</t>
  </si>
  <si>
    <t xml:space="preserve">CUST-1025</t>
  </si>
  <si>
    <t xml:space="preserve">ORD-100681</t>
  </si>
  <si>
    <t xml:space="preserve">2024-12-01</t>
  </si>
  <si>
    <t xml:space="preserve">CUST-1171</t>
  </si>
  <si>
    <t xml:space="preserve">ORD-100578</t>
  </si>
  <si>
    <t xml:space="preserve">2024-05-12</t>
  </si>
  <si>
    <t xml:space="preserve">CUST-1075</t>
  </si>
  <si>
    <t xml:space="preserve">ORD-100160</t>
  </si>
  <si>
    <t xml:space="preserve">2024-10-02</t>
  </si>
  <si>
    <t xml:space="preserve">CUST-1060</t>
  </si>
  <si>
    <t xml:space="preserve">ORD-100107</t>
  </si>
  <si>
    <t xml:space="preserve">2024-12-25</t>
  </si>
  <si>
    <t xml:space="preserve">CUST-1072</t>
  </si>
  <si>
    <t xml:space="preserve">ORD-100478</t>
  </si>
  <si>
    <t xml:space="preserve">2024-05-05</t>
  </si>
  <si>
    <t xml:space="preserve">P-5033</t>
  </si>
  <si>
    <t xml:space="preserve">Yoga Mat</t>
  </si>
  <si>
    <t xml:space="preserve">ORD-100146</t>
  </si>
  <si>
    <t xml:space="preserve">ORD-100807</t>
  </si>
  <si>
    <t xml:space="preserve">2024-05-14</t>
  </si>
  <si>
    <t xml:space="preserve">ORD-100545</t>
  </si>
  <si>
    <t xml:space="preserve">2024-12-22</t>
  </si>
  <si>
    <t xml:space="preserve">CUST-1038</t>
  </si>
  <si>
    <t xml:space="preserve">P-5024</t>
  </si>
  <si>
    <t xml:space="preserve">Formal Shirt</t>
  </si>
  <si>
    <t xml:space="preserve">ORD-100663</t>
  </si>
  <si>
    <t xml:space="preserve">2024-07-10</t>
  </si>
  <si>
    <t xml:space="preserve">CUST-1132</t>
  </si>
  <si>
    <t xml:space="preserve">ORD-100318</t>
  </si>
  <si>
    <t xml:space="preserve">2024-05-28</t>
  </si>
  <si>
    <t xml:space="preserve">CUST-1047</t>
  </si>
  <si>
    <t xml:space="preserve">ORD-100787</t>
  </si>
  <si>
    <t xml:space="preserve">2024-09-30</t>
  </si>
  <si>
    <t xml:space="preserve">CUST-1012</t>
  </si>
  <si>
    <t xml:space="preserve">ORD-100585</t>
  </si>
  <si>
    <t xml:space="preserve">CUST-1174</t>
  </si>
  <si>
    <t xml:space="preserve">ORD-100775</t>
  </si>
  <si>
    <t xml:space="preserve">2024-10-03</t>
  </si>
  <si>
    <t xml:space="preserve">CUST-1119</t>
  </si>
  <si>
    <t xml:space="preserve">ORD-100506</t>
  </si>
  <si>
    <t xml:space="preserve">2024-05-23</t>
  </si>
  <si>
    <t xml:space="preserve">CUST-1070</t>
  </si>
  <si>
    <t xml:space="preserve">P-5019</t>
  </si>
  <si>
    <t xml:space="preserve">Denim Jeans</t>
  </si>
  <si>
    <t xml:space="preserve">ORD-100724</t>
  </si>
  <si>
    <t xml:space="preserve">2024-04-19</t>
  </si>
  <si>
    <t xml:space="preserve">ORD-100079</t>
  </si>
  <si>
    <t xml:space="preserve">2024-02-08</t>
  </si>
  <si>
    <t xml:space="preserve">CUST-1050</t>
  </si>
  <si>
    <t xml:space="preserve">ORD-100307</t>
  </si>
  <si>
    <t xml:space="preserve">2024-12-19</t>
  </si>
  <si>
    <t xml:space="preserve">ORD-100723</t>
  </si>
  <si>
    <t xml:space="preserve">2024-03-11</t>
  </si>
  <si>
    <t xml:space="preserve">CUST-1101</t>
  </si>
  <si>
    <t xml:space="preserve">P-5003</t>
  </si>
  <si>
    <t xml:space="preserve">Smartphone Case</t>
  </si>
  <si>
    <t xml:space="preserve">ORD-100125</t>
  </si>
  <si>
    <t xml:space="preserve">2024-09-04</t>
  </si>
  <si>
    <t xml:space="preserve">CUST-1106</t>
  </si>
  <si>
    <t xml:space="preserve">ORD-100841</t>
  </si>
  <si>
    <t xml:space="preserve">2024-06-25</t>
  </si>
  <si>
    <t xml:space="preserve">ORD-100013</t>
  </si>
  <si>
    <t xml:space="preserve">2024-06-22</t>
  </si>
  <si>
    <t xml:space="preserve">CUST-1103</t>
  </si>
  <si>
    <t xml:space="preserve">Unknown</t>
  </si>
  <si>
    <t xml:space="preserve">ORD-100493</t>
  </si>
  <si>
    <t xml:space="preserve">2024-02-25</t>
  </si>
  <si>
    <t xml:space="preserve">CUST-1149</t>
  </si>
  <si>
    <t xml:space="preserve">ORD-100838</t>
  </si>
  <si>
    <t xml:space="preserve">2024-10-13</t>
  </si>
  <si>
    <t xml:space="preserve">CUST-1123</t>
  </si>
  <si>
    <t xml:space="preserve">P-5025</t>
  </si>
  <si>
    <t xml:space="preserve">Face Wash</t>
  </si>
  <si>
    <t xml:space="preserve">ORD-100769</t>
  </si>
  <si>
    <t xml:space="preserve">2024-04-30</t>
  </si>
  <si>
    <t xml:space="preserve">CUST-1032</t>
  </si>
  <si>
    <t xml:space="preserve">ORD-100127</t>
  </si>
  <si>
    <t xml:space="preserve">CUST-1087</t>
  </si>
  <si>
    <t xml:space="preserve">ORD-100773</t>
  </si>
  <si>
    <t xml:space="preserve">ORD-100728</t>
  </si>
  <si>
    <t xml:space="preserve">2024-01-30</t>
  </si>
  <si>
    <t xml:space="preserve">CUST-1152</t>
  </si>
  <si>
    <t xml:space="preserve">ORD-100579</t>
  </si>
  <si>
    <t xml:space="preserve">2024-12-31</t>
  </si>
  <si>
    <t xml:space="preserve">ORD-100301</t>
  </si>
  <si>
    <t xml:space="preserve">2024-08-13</t>
  </si>
  <si>
    <t xml:space="preserve">ORD-100052</t>
  </si>
  <si>
    <t xml:space="preserve">CUST-1130</t>
  </si>
  <si>
    <t xml:space="preserve">P-5011</t>
  </si>
  <si>
    <t xml:space="preserve">Coffee Maker</t>
  </si>
  <si>
    <t xml:space="preserve">ORD-100469</t>
  </si>
  <si>
    <t xml:space="preserve">2024-06-16</t>
  </si>
  <si>
    <t xml:space="preserve">CUST-1137</t>
  </si>
  <si>
    <t xml:space="preserve">ORD-100031</t>
  </si>
  <si>
    <t xml:space="preserve">2024-09-07</t>
  </si>
  <si>
    <t xml:space="preserve">ORD-100709</t>
  </si>
  <si>
    <t xml:space="preserve">CUST-1043</t>
  </si>
  <si>
    <t xml:space="preserve">ORD-100284</t>
  </si>
  <si>
    <t xml:space="preserve">CUST-1040</t>
  </si>
  <si>
    <t xml:space="preserve">ORD-100059</t>
  </si>
  <si>
    <t xml:space="preserve">2024-11-09</t>
  </si>
  <si>
    <t xml:space="preserve">CUST-1113</t>
  </si>
  <si>
    <t xml:space="preserve">ORD-100331</t>
  </si>
  <si>
    <t xml:space="preserve">2024-11-01</t>
  </si>
  <si>
    <t xml:space="preserve">ORD-100639</t>
  </si>
  <si>
    <t xml:space="preserve">2024-11-07</t>
  </si>
  <si>
    <t xml:space="preserve">CUST-1107</t>
  </si>
  <si>
    <t xml:space="preserve">ORD-100638</t>
  </si>
  <si>
    <t xml:space="preserve">2024-02-23</t>
  </si>
  <si>
    <t xml:space="preserve">ORD-100721</t>
  </si>
  <si>
    <t xml:space="preserve">2024-05-21</t>
  </si>
  <si>
    <t xml:space="preserve">CUST-1156</t>
  </si>
  <si>
    <t xml:space="preserve">ORD-100539</t>
  </si>
  <si>
    <t xml:space="preserve">2024-07-03</t>
  </si>
  <si>
    <t xml:space="preserve">CUST-1013</t>
  </si>
  <si>
    <t xml:space="preserve">ORD-100568</t>
  </si>
  <si>
    <t xml:space="preserve">2024-01-15</t>
  </si>
  <si>
    <t xml:space="preserve">ORD-100266</t>
  </si>
  <si>
    <t xml:space="preserve">ORD-100641</t>
  </si>
  <si>
    <t xml:space="preserve">2024-11-19</t>
  </si>
  <si>
    <t xml:space="preserve">CUST-1141</t>
  </si>
  <si>
    <t xml:space="preserve">ORD-100507</t>
  </si>
  <si>
    <t xml:space="preserve">ORD-100208</t>
  </si>
  <si>
    <t xml:space="preserve">ORD-100725</t>
  </si>
  <si>
    <t xml:space="preserve">2024-11-21</t>
  </si>
  <si>
    <t xml:space="preserve">CUST-1099</t>
  </si>
  <si>
    <t xml:space="preserve">ORD-100194</t>
  </si>
  <si>
    <t xml:space="preserve">CUST-1011</t>
  </si>
  <si>
    <t xml:space="preserve">ORD-100368</t>
  </si>
  <si>
    <t xml:space="preserve">2024-08-21</t>
  </si>
  <si>
    <t xml:space="preserve">ORD-100447</t>
  </si>
  <si>
    <t xml:space="preserve">2024-03-21</t>
  </si>
  <si>
    <t xml:space="preserve">ORD-100755</t>
  </si>
  <si>
    <t xml:space="preserve">CUST-1115</t>
  </si>
  <si>
    <t xml:space="preserve">ORD-100756</t>
  </si>
  <si>
    <t xml:space="preserve">ORD-100297</t>
  </si>
  <si>
    <t xml:space="preserve">2024-07-07</t>
  </si>
  <si>
    <t xml:space="preserve">ORD-100366</t>
  </si>
  <si>
    <t xml:space="preserve">2024-12-08</t>
  </si>
  <si>
    <t xml:space="preserve">ORD-100040</t>
  </si>
  <si>
    <t xml:space="preserve">2024-04-12</t>
  </si>
  <si>
    <t xml:space="preserve">CUST-1056</t>
  </si>
  <si>
    <t xml:space="preserve">ORD-100121</t>
  </si>
  <si>
    <t xml:space="preserve">2024-03-08</t>
  </si>
  <si>
    <t xml:space="preserve">CUST-1140</t>
  </si>
  <si>
    <t xml:space="preserve">ORD-100770</t>
  </si>
  <si>
    <t xml:space="preserve">2024-07-22</t>
  </si>
  <si>
    <t xml:space="preserve">CUST-1042</t>
  </si>
  <si>
    <t xml:space="preserve">ORD-100065</t>
  </si>
  <si>
    <t xml:space="preserve">2024-08-03</t>
  </si>
  <si>
    <t xml:space="preserve">CUST-1052</t>
  </si>
  <si>
    <t xml:space="preserve">P-5013</t>
  </si>
  <si>
    <t xml:space="preserve">Dinner Set</t>
  </si>
  <si>
    <t xml:space="preserve">ORD-100186</t>
  </si>
  <si>
    <t xml:space="preserve">CUST-1007</t>
  </si>
  <si>
    <t xml:space="preserve">ORD-100195</t>
  </si>
  <si>
    <t xml:space="preserve">2024-06-03</t>
  </si>
  <si>
    <t xml:space="preserve">ORD-100264</t>
  </si>
  <si>
    <t xml:space="preserve">2024-02-14</t>
  </si>
  <si>
    <t xml:space="preserve">ORD-100595</t>
  </si>
  <si>
    <t xml:space="preserve">CUST-1133</t>
  </si>
  <si>
    <t xml:space="preserve">ORD-100398</t>
  </si>
  <si>
    <t xml:space="preserve">2024-05-29</t>
  </si>
  <si>
    <t xml:space="preserve">ORD-100349</t>
  </si>
  <si>
    <t xml:space="preserve">2024-05-20</t>
  </si>
  <si>
    <t xml:space="preserve">CUST-1076</t>
  </si>
  <si>
    <t xml:space="preserve">ORD-100285</t>
  </si>
  <si>
    <t xml:space="preserve">2024-08-27</t>
  </si>
  <si>
    <t xml:space="preserve">CUST-1131</t>
  </si>
  <si>
    <t xml:space="preserve">P-5021</t>
  </si>
  <si>
    <t xml:space="preserve">Leather Wallet</t>
  </si>
  <si>
    <t xml:space="preserve">ORD-100550</t>
  </si>
  <si>
    <t xml:space="preserve">2024-08-10</t>
  </si>
  <si>
    <t xml:space="preserve">ORD-100225</t>
  </si>
  <si>
    <t xml:space="preserve">2024-01-23</t>
  </si>
  <si>
    <t xml:space="preserve">CUST-1112</t>
  </si>
  <si>
    <t xml:space="preserve">ORD-100697</t>
  </si>
  <si>
    <t xml:space="preserve">ORD-100685</t>
  </si>
  <si>
    <t xml:space="preserve">2024-03-09</t>
  </si>
  <si>
    <t xml:space="preserve">CUST-1092</t>
  </si>
  <si>
    <t xml:space="preserve">ORD-100245</t>
  </si>
  <si>
    <t xml:space="preserve">2024-09-02</t>
  </si>
  <si>
    <t xml:space="preserve">CUST-1178</t>
  </si>
  <si>
    <t xml:space="preserve">ORD-100110</t>
  </si>
  <si>
    <t xml:space="preserve">2024-03-04</t>
  </si>
  <si>
    <t xml:space="preserve">ORD-100092</t>
  </si>
  <si>
    <t xml:space="preserve">2024-06-18</t>
  </si>
  <si>
    <t xml:space="preserve">P-5023</t>
  </si>
  <si>
    <t xml:space="preserve">Backpack</t>
  </si>
  <si>
    <t xml:space="preserve">ORD-100489</t>
  </si>
  <si>
    <t xml:space="preserve">2024-02-13</t>
  </si>
  <si>
    <t xml:space="preserve">CUST-1117</t>
  </si>
  <si>
    <t xml:space="preserve">P-5014</t>
  </si>
  <si>
    <t xml:space="preserve">Storage Containers</t>
  </si>
  <si>
    <t xml:space="preserve">ORD-100346</t>
  </si>
  <si>
    <t xml:space="preserve">CUST-1062</t>
  </si>
  <si>
    <t xml:space="preserve">ORD-100051</t>
  </si>
  <si>
    <t xml:space="preserve">2024-11-06</t>
  </si>
  <si>
    <t xml:space="preserve">CUST-1148</t>
  </si>
  <si>
    <t xml:space="preserve">ORD-100503</t>
  </si>
  <si>
    <t xml:space="preserve">ORD-100470</t>
  </si>
  <si>
    <t xml:space="preserve">2024-08-11</t>
  </si>
  <si>
    <t xml:space="preserve">ORD-100330</t>
  </si>
  <si>
    <t xml:space="preserve">2024-10-08</t>
  </si>
  <si>
    <t xml:space="preserve">ORD-100017</t>
  </si>
  <si>
    <t xml:space="preserve">2024-03-25</t>
  </si>
  <si>
    <t xml:space="preserve">CUST-1015</t>
  </si>
  <si>
    <t xml:space="preserve">ORD-100339</t>
  </si>
  <si>
    <t xml:space="preserve">ORD-100707</t>
  </si>
  <si>
    <t xml:space="preserve">ORD-100152</t>
  </si>
  <si>
    <t xml:space="preserve">ORD-100536</t>
  </si>
  <si>
    <t xml:space="preserve">CUST-1155</t>
  </si>
  <si>
    <t xml:space="preserve">ORD-100627</t>
  </si>
  <si>
    <t xml:space="preserve">2024-07-30</t>
  </si>
  <si>
    <t xml:space="preserve">ORD-100705</t>
  </si>
  <si>
    <t xml:space="preserve">ORD-100557</t>
  </si>
  <si>
    <t xml:space="preserve">ORD-100496</t>
  </si>
  <si>
    <t xml:space="preserve">CUST-1175</t>
  </si>
  <si>
    <t xml:space="preserve">ORD-100367</t>
  </si>
  <si>
    <t xml:space="preserve">2024-04-28</t>
  </si>
  <si>
    <t xml:space="preserve">ORD-100826</t>
  </si>
  <si>
    <t xml:space="preserve">ORD-100174</t>
  </si>
  <si>
    <t xml:space="preserve">ORD-100201</t>
  </si>
  <si>
    <t xml:space="preserve">2024-07-04</t>
  </si>
  <si>
    <t xml:space="preserve">ORD-100438</t>
  </si>
  <si>
    <t xml:space="preserve">ORD-100563</t>
  </si>
  <si>
    <t xml:space="preserve">2024-12-29</t>
  </si>
  <si>
    <t xml:space="preserve">CUST-1079</t>
  </si>
  <si>
    <t xml:space="preserve">ORD-100247</t>
  </si>
  <si>
    <t xml:space="preserve">2024-06-07</t>
  </si>
  <si>
    <t xml:space="preserve">CUST-1080</t>
  </si>
  <si>
    <t xml:space="preserve">ORD-100033</t>
  </si>
  <si>
    <t xml:space="preserve">CUST-1163</t>
  </si>
  <si>
    <t xml:space="preserve">ORD-100084</t>
  </si>
  <si>
    <t xml:space="preserve">2024-10-30</t>
  </si>
  <si>
    <t xml:space="preserve">CUST-1111</t>
  </si>
  <si>
    <t xml:space="preserve">ORD-100090</t>
  </si>
  <si>
    <t xml:space="preserve">2024-02-17</t>
  </si>
  <si>
    <t xml:space="preserve">ORD-100687</t>
  </si>
  <si>
    <t xml:space="preserve">ORD-100547</t>
  </si>
  <si>
    <t xml:space="preserve">CUST-1146</t>
  </si>
  <si>
    <t xml:space="preserve">ORD-100385</t>
  </si>
  <si>
    <t xml:space="preserve">2024-07-13</t>
  </si>
  <si>
    <t xml:space="preserve">CUST-1039</t>
  </si>
  <si>
    <t xml:space="preserve">ORD-100783</t>
  </si>
  <si>
    <t xml:space="preserve">2024-08-04</t>
  </si>
  <si>
    <t xml:space="preserve">CUST-1020</t>
  </si>
  <si>
    <t xml:space="preserve">ORD-100351</t>
  </si>
  <si>
    <t xml:space="preserve">2024-08-01</t>
  </si>
  <si>
    <t xml:space="preserve">ORD-100313</t>
  </si>
  <si>
    <t xml:space="preserve">ORD-100166</t>
  </si>
  <si>
    <t xml:space="preserve">2024-10-16</t>
  </si>
  <si>
    <t xml:space="preserve">ORD-100333</t>
  </si>
  <si>
    <t xml:space="preserve">ORD-100799</t>
  </si>
  <si>
    <t xml:space="preserve">2024-01-05</t>
  </si>
  <si>
    <t xml:space="preserve">ORD-100158</t>
  </si>
  <si>
    <t xml:space="preserve">2024-08-25</t>
  </si>
  <si>
    <t xml:space="preserve">CUST-1162</t>
  </si>
  <si>
    <t xml:space="preserve">ORD-100321</t>
  </si>
  <si>
    <t xml:space="preserve">2024-01-08</t>
  </si>
  <si>
    <t xml:space="preserve">ORD-100375</t>
  </si>
  <si>
    <t xml:space="preserve">ORD-100584</t>
  </si>
  <si>
    <t xml:space="preserve">2024-01-28</t>
  </si>
  <si>
    <t xml:space="preserve">CUST-1120</t>
  </si>
  <si>
    <t xml:space="preserve">ORD-100747</t>
  </si>
  <si>
    <t xml:space="preserve">CUST-1147</t>
  </si>
  <si>
    <t xml:space="preserve">ORD-100009</t>
  </si>
  <si>
    <t xml:space="preserve">2024-09-20</t>
  </si>
  <si>
    <t xml:space="preserve">CUST-1018</t>
  </si>
  <si>
    <t xml:space="preserve">ORD-100304</t>
  </si>
  <si>
    <t xml:space="preserve">2024-03-29</t>
  </si>
  <si>
    <t xml:space="preserve">ORD-100077</t>
  </si>
  <si>
    <t xml:space="preserve">ORD-100521</t>
  </si>
  <si>
    <t xml:space="preserve">2024-07-05</t>
  </si>
  <si>
    <t xml:space="preserve">CUST-1134</t>
  </si>
  <si>
    <t xml:space="preserve">ORD-100741</t>
  </si>
  <si>
    <t xml:space="preserve">ORD-100164</t>
  </si>
  <si>
    <t xml:space="preserve">P-5016</t>
  </si>
  <si>
    <t xml:space="preserve">Wall Clock</t>
  </si>
  <si>
    <t xml:space="preserve">ORD-100328</t>
  </si>
  <si>
    <t xml:space="preserve">ORD-100094</t>
  </si>
  <si>
    <t xml:space="preserve">ORD-100613</t>
  </si>
  <si>
    <t xml:space="preserve">2024-04-03</t>
  </si>
  <si>
    <t xml:space="preserve">ORD-100846</t>
  </si>
  <si>
    <t xml:space="preserve">CUST-1084</t>
  </si>
  <si>
    <t xml:space="preserve">ORD-100739</t>
  </si>
  <si>
    <t xml:space="preserve">CUST-1097</t>
  </si>
  <si>
    <t xml:space="preserve">ORD-100001</t>
  </si>
  <si>
    <t xml:space="preserve">ORD-100611</t>
  </si>
  <si>
    <t xml:space="preserve">ORD-100168</t>
  </si>
  <si>
    <t xml:space="preserve">2024-03-07</t>
  </si>
  <si>
    <t xml:space="preserve">CUST-1037</t>
  </si>
  <si>
    <t xml:space="preserve">ORD-100388</t>
  </si>
  <si>
    <t xml:space="preserve">2024-10-11</t>
  </si>
  <si>
    <t xml:space="preserve">CUST-1142</t>
  </si>
  <si>
    <t xml:space="preserve">ORD-100219</t>
  </si>
  <si>
    <t xml:space="preserve">ORD-100645</t>
  </si>
  <si>
    <t xml:space="preserve">2024-01-29</t>
  </si>
  <si>
    <t xml:space="preserve">ORD-100275</t>
  </si>
  <si>
    <t xml:space="preserve">ORD-100626</t>
  </si>
  <si>
    <t xml:space="preserve">2024-03-01</t>
  </si>
  <si>
    <t xml:space="preserve">ORD-100708</t>
  </si>
  <si>
    <t xml:space="preserve">2024-05-25</t>
  </si>
  <si>
    <t xml:space="preserve">CUST-1169</t>
  </si>
  <si>
    <t xml:space="preserve">ORD-100672</t>
  </si>
  <si>
    <t xml:space="preserve">ORD-100642</t>
  </si>
  <si>
    <t xml:space="preserve">CUST-1172</t>
  </si>
  <si>
    <t xml:space="preserve">ORD-100530</t>
  </si>
  <si>
    <t xml:space="preserve">2024-07-16</t>
  </si>
  <si>
    <t xml:space="preserve">ORD-100664</t>
  </si>
  <si>
    <t xml:space="preserve">ORD-100093</t>
  </si>
  <si>
    <t xml:space="preserve">CUST-1064</t>
  </si>
  <si>
    <t xml:space="preserve">ORD-100371</t>
  </si>
  <si>
    <t xml:space="preserve">2024-09-25</t>
  </si>
  <si>
    <t xml:space="preserve">CUST-1024</t>
  </si>
  <si>
    <t xml:space="preserve">ORD-100815</t>
  </si>
  <si>
    <t xml:space="preserve">ORD-100593</t>
  </si>
  <si>
    <t xml:space="preserve">CUST-1177</t>
  </si>
  <si>
    <t xml:space="preserve">ORD-100080</t>
  </si>
  <si>
    <t xml:space="preserve">ORD-100548</t>
  </si>
  <si>
    <t xml:space="preserve">2024-10-19</t>
  </si>
  <si>
    <t xml:space="preserve">CUST-1128</t>
  </si>
  <si>
    <t xml:space="preserve">ORD-100623</t>
  </si>
  <si>
    <t xml:space="preserve">2024-06-13</t>
  </si>
  <si>
    <t xml:space="preserve">CUST-1125</t>
  </si>
  <si>
    <t xml:space="preserve">ORD-100640</t>
  </si>
  <si>
    <t xml:space="preserve">ORD-100731</t>
  </si>
  <si>
    <t xml:space="preserve">CUST-1022</t>
  </si>
  <si>
    <t xml:space="preserve">ORD-100211</t>
  </si>
  <si>
    <t xml:space="preserve">2024-11-26</t>
  </si>
  <si>
    <t xml:space="preserve">ORD-100591</t>
  </si>
  <si>
    <t xml:space="preserve">CUST-1001</t>
  </si>
  <si>
    <t xml:space="preserve">ORD-100532</t>
  </si>
  <si>
    <t xml:space="preserve">2024-11-29</t>
  </si>
  <si>
    <t xml:space="preserve">ORD-100163</t>
  </si>
  <si>
    <t xml:space="preserve">2024-02-20</t>
  </si>
  <si>
    <t xml:space="preserve">ORD-100510</t>
  </si>
  <si>
    <t xml:space="preserve">2024-09-05</t>
  </si>
  <si>
    <t xml:space="preserve">CUST-1139</t>
  </si>
  <si>
    <t xml:space="preserve">ORD-100303</t>
  </si>
  <si>
    <t xml:space="preserve">2024-04-16</t>
  </si>
  <si>
    <t xml:space="preserve">ORD-100289</t>
  </si>
  <si>
    <t xml:space="preserve">2024-07-06</t>
  </si>
  <si>
    <t xml:space="preserve">ORD-100655</t>
  </si>
  <si>
    <t xml:space="preserve">2024-08-26</t>
  </si>
  <si>
    <t xml:space="preserve">ORD-100347</t>
  </si>
  <si>
    <t xml:space="preserve">2024-09-14</t>
  </si>
  <si>
    <t xml:space="preserve">ORD-100409</t>
  </si>
  <si>
    <t xml:space="preserve">CUST-1026</t>
  </si>
  <si>
    <t xml:space="preserve">ORD-100282</t>
  </si>
  <si>
    <t xml:space="preserve">CUST-1061</t>
  </si>
  <si>
    <t xml:space="preserve">ORD-100254</t>
  </si>
  <si>
    <t xml:space="preserve">2024-08-15</t>
  </si>
  <si>
    <t xml:space="preserve">ORD-100428</t>
  </si>
  <si>
    <t xml:space="preserve">2024-02-12</t>
  </si>
  <si>
    <t xml:space="preserve">ORD-100693</t>
  </si>
  <si>
    <t xml:space="preserve">2024-04-01</t>
  </si>
  <si>
    <t xml:space="preserve">ORD-100456</t>
  </si>
  <si>
    <t xml:space="preserve">2024-09-28</t>
  </si>
  <si>
    <t xml:space="preserve">CUST-1017</t>
  </si>
  <si>
    <t xml:space="preserve">ORD-100198</t>
  </si>
  <si>
    <t xml:space="preserve">ORD-100830</t>
  </si>
  <si>
    <t xml:space="preserve">2024-10-22</t>
  </si>
  <si>
    <t xml:space="preserve">ORD-100689</t>
  </si>
  <si>
    <t xml:space="preserve">2024-10-09</t>
  </si>
  <si>
    <t xml:space="preserve">ORD-100335</t>
  </si>
  <si>
    <t xml:space="preserve">2024-07-31</t>
  </si>
  <si>
    <t xml:space="preserve">ORD-100590</t>
  </si>
  <si>
    <t xml:space="preserve">CUST-1157</t>
  </si>
  <si>
    <t xml:space="preserve">ORD-100445</t>
  </si>
  <si>
    <t xml:space="preserve">ORD-100748</t>
  </si>
  <si>
    <t xml:space="preserve">ORD-100356</t>
  </si>
  <si>
    <t xml:space="preserve">2024-04-06</t>
  </si>
  <si>
    <t xml:space="preserve">ORD-100540</t>
  </si>
  <si>
    <t xml:space="preserve">2024-02-19</t>
  </si>
  <si>
    <t xml:space="preserve">ORD-100288</t>
  </si>
  <si>
    <t xml:space="preserve">ORD-100622</t>
  </si>
  <si>
    <t xml:space="preserve">CUST-1164</t>
  </si>
  <si>
    <t xml:space="preserve">ORD-100581</t>
  </si>
  <si>
    <t xml:space="preserve">2024-08-29</t>
  </si>
  <si>
    <t xml:space="preserve">ORD-100836</t>
  </si>
  <si>
    <t xml:space="preserve">ORD-100684</t>
  </si>
  <si>
    <t xml:space="preserve">2024-06-09</t>
  </si>
  <si>
    <t xml:space="preserve">ORD-100751</t>
  </si>
  <si>
    <t xml:space="preserve">ORD-100306</t>
  </si>
  <si>
    <t xml:space="preserve">2024-10-12</t>
  </si>
  <si>
    <t xml:space="preserve">ORD-100224</t>
  </si>
  <si>
    <t xml:space="preserve">CUST-1158</t>
  </si>
  <si>
    <t xml:space="preserve">ORD-100500</t>
  </si>
  <si>
    <t xml:space="preserve">2024-01-07</t>
  </si>
  <si>
    <t xml:space="preserve">ORD-100824</t>
  </si>
  <si>
    <t xml:space="preserve">2024-01-18</t>
  </si>
  <si>
    <t xml:space="preserve">CUST-1000</t>
  </si>
  <si>
    <t xml:space="preserve">ORD-100516</t>
  </si>
  <si>
    <t xml:space="preserve">2024-06-29</t>
  </si>
  <si>
    <t xml:space="preserve">ORD-100733</t>
  </si>
  <si>
    <t xml:space="preserve">ORD-100597</t>
  </si>
  <si>
    <t xml:space="preserve">2024-04-24</t>
  </si>
  <si>
    <t xml:space="preserve">CUST-1058</t>
  </si>
  <si>
    <t xml:space="preserve">ORD-100819</t>
  </si>
  <si>
    <t xml:space="preserve">2024-11-22</t>
  </si>
  <si>
    <t xml:space="preserve">ORD-100793</t>
  </si>
  <si>
    <t xml:space="preserve">ORD-100109</t>
  </si>
  <si>
    <t xml:space="preserve">2024-03-13</t>
  </si>
  <si>
    <t xml:space="preserve">CUST-1068</t>
  </si>
  <si>
    <t xml:space="preserve">ORD-100667</t>
  </si>
  <si>
    <t xml:space="preserve">2024-08-23</t>
  </si>
  <si>
    <t xml:space="preserve">ORD-100414</t>
  </si>
  <si>
    <t xml:space="preserve">2024-03-30</t>
  </si>
  <si>
    <t xml:space="preserve">ORD-100391</t>
  </si>
  <si>
    <t xml:space="preserve">ORD-100567</t>
  </si>
  <si>
    <t xml:space="preserve">ORD-100632</t>
  </si>
  <si>
    <t xml:space="preserve">2024-09-24</t>
  </si>
  <si>
    <t xml:space="preserve">ORD-100058</t>
  </si>
  <si>
    <t xml:space="preserve">ORD-100758</t>
  </si>
  <si>
    <t xml:space="preserve">2024-09-21</t>
  </si>
  <si>
    <t xml:space="preserve">ORD-100295</t>
  </si>
  <si>
    <t xml:space="preserve">2024-06-12</t>
  </si>
  <si>
    <t xml:space="preserve">ORD-100412</t>
  </si>
  <si>
    <t xml:space="preserve">2024-06-02</t>
  </si>
  <si>
    <t xml:space="preserve">ORD-100602</t>
  </si>
  <si>
    <t xml:space="preserve">ORD-100251</t>
  </si>
  <si>
    <t xml:space="preserve">2024-05-16</t>
  </si>
  <si>
    <t xml:space="preserve">ORD-100246</t>
  </si>
  <si>
    <t xml:space="preserve">2024-05-30</t>
  </si>
  <si>
    <t xml:space="preserve">ORD-100816</t>
  </si>
  <si>
    <t xml:space="preserve">2024-11-11</t>
  </si>
  <si>
    <t xml:space="preserve">CUST-1014</t>
  </si>
  <si>
    <t xml:space="preserve">ORD-100006</t>
  </si>
  <si>
    <t xml:space="preserve">2024-12-09</t>
  </si>
  <si>
    <t xml:space="preserve">CUST-1102</t>
  </si>
  <si>
    <t xml:space="preserve">ORD-100026</t>
  </si>
  <si>
    <t xml:space="preserve">ORD-100443</t>
  </si>
  <si>
    <t xml:space="preserve">2024-12-06</t>
  </si>
  <si>
    <t xml:space="preserve">ORD-100714</t>
  </si>
  <si>
    <t xml:space="preserve">ORD-100320</t>
  </si>
  <si>
    <t xml:space="preserve">2024-04-08</t>
  </si>
  <si>
    <t xml:space="preserve">ORD-100494</t>
  </si>
  <si>
    <t xml:space="preserve">ORD-100618</t>
  </si>
  <si>
    <t xml:space="preserve">CUST-1124</t>
  </si>
  <si>
    <t xml:space="preserve">ORD-100054</t>
  </si>
  <si>
    <t xml:space="preserve">2024-01-24</t>
  </si>
  <si>
    <t xml:space="preserve">ORD-100293</t>
  </si>
  <si>
    <t xml:space="preserve">2024-01-21</t>
  </si>
  <si>
    <t xml:space="preserve">ORD-100176</t>
  </si>
  <si>
    <t xml:space="preserve">ORD-100434</t>
  </si>
  <si>
    <t xml:space="preserve">2024-10-28</t>
  </si>
  <si>
    <t xml:space="preserve">ORD-100002</t>
  </si>
  <si>
    <t xml:space="preserve">2024-06-14</t>
  </si>
  <si>
    <t xml:space="preserve">CUST-1153</t>
  </si>
  <si>
    <t xml:space="preserve">ORD-100329</t>
  </si>
  <si>
    <t xml:space="preserve">2024-03-19</t>
  </si>
  <si>
    <t xml:space="preserve">CUST-1122</t>
  </si>
  <si>
    <t xml:space="preserve">ORD-100312</t>
  </si>
  <si>
    <t xml:space="preserve">ORD-100393</t>
  </si>
  <si>
    <t xml:space="preserve">ORD-100315</t>
  </si>
  <si>
    <t xml:space="preserve">CUST-1166</t>
  </si>
  <si>
    <t xml:space="preserve">ORD-100753</t>
  </si>
  <si>
    <t xml:space="preserve">ORD-100774</t>
  </si>
  <si>
    <t xml:space="preserve">2024-12-05</t>
  </si>
  <si>
    <t xml:space="preserve">CUST-1008</t>
  </si>
  <si>
    <t xml:space="preserve">ORD-100034</t>
  </si>
  <si>
    <t xml:space="preserve">CUST-1028</t>
  </si>
  <si>
    <t xml:space="preserve">ORD-100189</t>
  </si>
  <si>
    <t xml:space="preserve">2024-08-20</t>
  </si>
  <si>
    <t xml:space="preserve">ORD-100726</t>
  </si>
  <si>
    <t xml:space="preserve">ORD-100150</t>
  </si>
  <si>
    <t xml:space="preserve">ORD-100466</t>
  </si>
  <si>
    <t xml:space="preserve">ORD-100555</t>
  </si>
  <si>
    <t xml:space="preserve">2024-07-15</t>
  </si>
  <si>
    <t xml:space="preserve">CUST-1067</t>
  </si>
  <si>
    <t xml:space="preserve">ORD-100149</t>
  </si>
  <si>
    <t xml:space="preserve">CUST-1173</t>
  </si>
  <si>
    <t xml:space="preserve">ORD-100718</t>
  </si>
  <si>
    <t xml:space="preserve">ORD-100831</t>
  </si>
  <si>
    <t xml:space="preserve">CUST-1089</t>
  </si>
  <si>
    <t xml:space="preserve">ORD-100651</t>
  </si>
  <si>
    <t xml:space="preserve">2024-12-26</t>
  </si>
  <si>
    <t xml:space="preserve">ORD-100181</t>
  </si>
  <si>
    <t xml:space="preserve">CUST-1033</t>
  </si>
  <si>
    <t xml:space="preserve">ORD-100117</t>
  </si>
  <si>
    <t xml:space="preserve">2024-09-10</t>
  </si>
  <si>
    <t xml:space="preserve">ORD-100499</t>
  </si>
  <si>
    <t xml:space="preserve">2024-08-19</t>
  </si>
  <si>
    <t xml:space="preserve">ORD-100257</t>
  </si>
  <si>
    <t xml:space="preserve">ORD-100750</t>
  </si>
  <si>
    <t xml:space="preserve">2024-12-23</t>
  </si>
  <si>
    <t xml:space="preserve">CUST-1030</t>
  </si>
  <si>
    <t xml:space="preserve">ORD-100679</t>
  </si>
  <si>
    <t xml:space="preserve">2024-08-24</t>
  </si>
  <si>
    <t xml:space="preserve">ORD-100487</t>
  </si>
  <si>
    <t xml:space="preserve">ORD-100603</t>
  </si>
  <si>
    <t xml:space="preserve">ORD-100659</t>
  </si>
  <si>
    <t xml:space="preserve">ORD-100220</t>
  </si>
  <si>
    <t xml:space="preserve">2024-07-11</t>
  </si>
  <si>
    <t xml:space="preserve">CUST-1143</t>
  </si>
  <si>
    <t xml:space="preserve">ORD-100566</t>
  </si>
  <si>
    <t xml:space="preserve">ORD-100432</t>
  </si>
  <si>
    <t xml:space="preserve">2024-05-06</t>
  </si>
  <si>
    <t xml:space="preserve">ORD-100028</t>
  </si>
  <si>
    <t xml:space="preserve">2024-10-10</t>
  </si>
  <si>
    <t xml:space="preserve">CUST-1170</t>
  </si>
  <si>
    <t xml:space="preserve">ORD-100273</t>
  </si>
  <si>
    <t xml:space="preserve">ORD-100229</t>
  </si>
  <si>
    <t xml:space="preserve">2024-01-27</t>
  </si>
  <si>
    <t xml:space="preserve">ORD-100023</t>
  </si>
  <si>
    <t xml:space="preserve">ORD-100050</t>
  </si>
  <si>
    <t xml:space="preserve">2024-10-07</t>
  </si>
  <si>
    <t xml:space="preserve">ORD-100479</t>
  </si>
  <si>
    <t xml:space="preserve">2024-01-19</t>
  </si>
  <si>
    <t xml:space="preserve">ORD-100558</t>
  </si>
  <si>
    <t xml:space="preserve">2024-01-11</t>
  </si>
  <si>
    <t xml:space="preserve">ORD-100559</t>
  </si>
  <si>
    <t xml:space="preserve">2024-09-08</t>
  </si>
  <si>
    <t xml:space="preserve">ORD-100408</t>
  </si>
  <si>
    <t xml:space="preserve">ORD-100825</t>
  </si>
  <si>
    <t xml:space="preserve">ORD-100535</t>
  </si>
  <si>
    <t xml:space="preserve">2024-10-31</t>
  </si>
  <si>
    <t xml:space="preserve">CUST-1086</t>
  </si>
  <si>
    <t xml:space="preserve">ORD-100399</t>
  </si>
  <si>
    <t xml:space="preserve">ORD-100309</t>
  </si>
  <si>
    <t xml:space="preserve">ORD-100064</t>
  </si>
  <si>
    <t xml:space="preserve">ORD-100497</t>
  </si>
  <si>
    <t xml:space="preserve">2024-12-30</t>
  </si>
  <si>
    <t xml:space="preserve">ORD-100197</t>
  </si>
  <si>
    <t xml:space="preserve">ORD-100505</t>
  </si>
  <si>
    <t xml:space="preserve">ORD-100241</t>
  </si>
  <si>
    <t xml:space="preserve">2024-10-05</t>
  </si>
  <si>
    <t xml:space="preserve">ORD-100299</t>
  </si>
  <si>
    <t xml:space="preserve">2024-10-25</t>
  </si>
  <si>
    <t xml:space="preserve">ORD-100596</t>
  </si>
  <si>
    <t xml:space="preserve">2024-07-02</t>
  </si>
  <si>
    <t xml:space="preserve">ORD-100214</t>
  </si>
  <si>
    <t xml:space="preserve">ORD-100821</t>
  </si>
  <si>
    <t xml:space="preserve">CUST-1090</t>
  </si>
  <si>
    <t xml:space="preserve">ORD-100108</t>
  </si>
  <si>
    <t xml:space="preserve">ORD-100061</t>
  </si>
  <si>
    <t xml:space="preserve">2024-05-02</t>
  </si>
  <si>
    <t xml:space="preserve">ORD-100431</t>
  </si>
  <si>
    <t xml:space="preserve">ORD-100212</t>
  </si>
  <si>
    <t xml:space="preserve">ORD-100746</t>
  </si>
  <si>
    <t xml:space="preserve">ORD-100636</t>
  </si>
  <si>
    <t xml:space="preserve">ORD-100430</t>
  </si>
  <si>
    <t xml:space="preserve">ORD-100662</t>
  </si>
  <si>
    <t xml:space="preserve">CUST-1029</t>
  </si>
  <si>
    <t xml:space="preserve">ORD-100501</t>
  </si>
  <si>
    <t xml:space="preserve">2024-07-24</t>
  </si>
  <si>
    <t xml:space="preserve">ORD-100235</t>
  </si>
  <si>
    <t xml:space="preserve">2024-08-17</t>
  </si>
  <si>
    <t xml:space="preserve">ORD-100759</t>
  </si>
  <si>
    <t xml:space="preserve">2024-10-17</t>
  </si>
  <si>
    <t xml:space="preserve">ORD-100396</t>
  </si>
  <si>
    <t xml:space="preserve">2024-06-20</t>
  </si>
  <si>
    <t xml:space="preserve">ORD-100843</t>
  </si>
  <si>
    <t xml:space="preserve">ORD-100147</t>
  </si>
  <si>
    <t xml:space="preserve">CUST-1002</t>
  </si>
  <si>
    <t xml:space="preserve">ORD-100066</t>
  </si>
  <si>
    <t xml:space="preserve">2024-01-04</t>
  </si>
  <si>
    <t xml:space="preserve">ORD-100577</t>
  </si>
  <si>
    <t xml:space="preserve">2024-07-25</t>
  </si>
  <si>
    <t xml:space="preserve">ORD-100848</t>
  </si>
  <si>
    <t xml:space="preserve">ORD-100223</t>
  </si>
  <si>
    <t xml:space="preserve">ORD-100142</t>
  </si>
  <si>
    <t xml:space="preserve">CUST-1118</t>
  </si>
  <si>
    <t xml:space="preserve">ORD-100473</t>
  </si>
  <si>
    <t xml:space="preserve">ORD-100265</t>
  </si>
  <si>
    <t xml:space="preserve">ORD-100392</t>
  </si>
  <si>
    <t xml:space="preserve">2024-03-15</t>
  </si>
  <si>
    <t xml:space="preserve">ORD-100085</t>
  </si>
  <si>
    <t xml:space="preserve">2024-08-18</t>
  </si>
  <si>
    <t xml:space="preserve">ORD-100803</t>
  </si>
  <si>
    <t xml:space="preserve">CUST-1049</t>
  </si>
  <si>
    <t xml:space="preserve">ORD-100369</t>
  </si>
  <si>
    <t xml:space="preserve">ORD-100159</t>
  </si>
  <si>
    <t xml:space="preserve">ORD-100373</t>
  </si>
  <si>
    <t xml:space="preserve">2024-05-04</t>
  </si>
  <si>
    <t xml:space="preserve">ORD-100233</t>
  </si>
  <si>
    <t xml:space="preserve">CUST-1057</t>
  </si>
  <si>
    <t xml:space="preserve">ORD-100671</t>
  </si>
  <si>
    <t xml:space="preserve">2024-02-07</t>
  </si>
  <si>
    <t xml:space="preserve">ORD-100422</t>
  </si>
  <si>
    <t xml:space="preserve">ORD-100842</t>
  </si>
  <si>
    <t xml:space="preserve">2024-08-14</t>
  </si>
  <si>
    <t xml:space="preserve">ORD-100734</t>
  </si>
  <si>
    <t xml:space="preserve">2024-04-09</t>
  </si>
  <si>
    <t xml:space="preserve">ORD-100661</t>
  </si>
  <si>
    <t xml:space="preserve">2024-11-24</t>
  </si>
  <si>
    <t xml:space="preserve">ORD-100802</t>
  </si>
  <si>
    <t xml:space="preserve">2024-09-06</t>
  </si>
  <si>
    <t xml:space="preserve">ORD-100183</t>
  </si>
  <si>
    <t xml:space="preserve">2024-06-08</t>
  </si>
  <si>
    <t xml:space="preserve">ORD-100091</t>
  </si>
  <si>
    <t xml:space="preserve">2024-10-24</t>
  </si>
  <si>
    <t xml:space="preserve">ORD-100791</t>
  </si>
  <si>
    <t xml:space="preserve">ORD-100790</t>
  </si>
  <si>
    <t xml:space="preserve">2024-07-09</t>
  </si>
  <si>
    <t xml:space="preserve">CUST-1127</t>
  </si>
  <si>
    <t xml:space="preserve">ORD-100343</t>
  </si>
  <si>
    <t xml:space="preserve">ORD-100123</t>
  </si>
  <si>
    <t xml:space="preserve">ORD-100192</t>
  </si>
  <si>
    <t xml:space="preserve">ORD-100765</t>
  </si>
  <si>
    <t xml:space="preserve">2024-06-21</t>
  </si>
  <si>
    <t xml:space="preserve">ORD-100237</t>
  </si>
  <si>
    <t xml:space="preserve">CUST-1077</t>
  </si>
  <si>
    <t xml:space="preserve">ORD-100634</t>
  </si>
  <si>
    <t xml:space="preserve">2024-07-20</t>
  </si>
  <si>
    <t xml:space="preserve">ORD-100359</t>
  </si>
  <si>
    <t xml:space="preserve">ORD-100580</t>
  </si>
  <si>
    <t xml:space="preserve">ORD-100554</t>
  </si>
  <si>
    <t xml:space="preserve">2024-02-21</t>
  </si>
  <si>
    <t xml:space="preserve">ORD-100519</t>
  </si>
  <si>
    <t xml:space="preserve">2024-11-10</t>
  </si>
  <si>
    <t xml:space="preserve">ORD-100314</t>
  </si>
  <si>
    <t xml:space="preserve">ORD-100354</t>
  </si>
  <si>
    <t xml:space="preserve">ORD-100569</t>
  </si>
  <si>
    <t xml:space="preserve">2024-04-25</t>
  </si>
  <si>
    <t xml:space="preserve">ORD-100617</t>
  </si>
  <si>
    <t xml:space="preserve">ORD-100165</t>
  </si>
  <si>
    <t xml:space="preserve">2024-04-18</t>
  </si>
  <si>
    <t xml:space="preserve">ORD-100820</t>
  </si>
  <si>
    <t xml:space="preserve">ORD-100522</t>
  </si>
  <si>
    <t xml:space="preserve">ORD-100546</t>
  </si>
  <si>
    <t xml:space="preserve">2024-04-26</t>
  </si>
  <si>
    <t xml:space="preserve">CUST-1150</t>
  </si>
  <si>
    <t xml:space="preserve">ORD-100502</t>
  </si>
  <si>
    <t xml:space="preserve">2024-01-12</t>
  </si>
  <si>
    <t xml:space="preserve">ORD-100486</t>
  </si>
  <si>
    <t xml:space="preserve">2024-01-01</t>
  </si>
  <si>
    <t xml:space="preserve">ORD-100442</t>
  </si>
  <si>
    <t xml:space="preserve">CUST-1116</t>
  </si>
  <si>
    <t xml:space="preserve">ORD-100463</t>
  </si>
  <si>
    <t xml:space="preserve">CUST-1135</t>
  </si>
  <si>
    <t xml:space="preserve">ORD-100416</t>
  </si>
  <si>
    <t xml:space="preserve">ORD-100104</t>
  </si>
  <si>
    <t xml:space="preserve">2024-11-16</t>
  </si>
  <si>
    <t xml:space="preserve">ORD-100353</t>
  </si>
  <si>
    <t xml:space="preserve">ORD-100136</t>
  </si>
  <si>
    <t xml:space="preserve">2024-02-05</t>
  </si>
  <si>
    <t xml:space="preserve">ORD-100517</t>
  </si>
  <si>
    <t xml:space="preserve">ORD-100609</t>
  </si>
  <si>
    <t xml:space="preserve">2024-01-26</t>
  </si>
  <si>
    <t xml:space="preserve">ORD-100374</t>
  </si>
  <si>
    <t xml:space="preserve">ORD-100652</t>
  </si>
  <si>
    <t xml:space="preserve">ORD-100261</t>
  </si>
  <si>
    <t xml:space="preserve">2024-09-12</t>
  </si>
  <si>
    <t xml:space="preserve">ORD-100128</t>
  </si>
  <si>
    <t xml:space="preserve">2024-10-23</t>
  </si>
  <si>
    <t xml:space="preserve">ORD-100575</t>
  </si>
  <si>
    <t xml:space="preserve">CUST-1016</t>
  </si>
  <si>
    <t xml:space="preserve">ORD-100624</t>
  </si>
  <si>
    <t xml:space="preserve">ORD-100781</t>
  </si>
  <si>
    <t xml:space="preserve">ORD-100444</t>
  </si>
  <si>
    <t xml:space="preserve">CUST-1109</t>
  </si>
  <si>
    <t xml:space="preserve">ORD-100533</t>
  </si>
  <si>
    <t xml:space="preserve">ORD-100187</t>
  </si>
  <si>
    <t xml:space="preserve">ORD-100656</t>
  </si>
  <si>
    <t xml:space="preserve">ORD-100491</t>
  </si>
  <si>
    <t xml:space="preserve">2024-05-13</t>
  </si>
  <si>
    <t xml:space="preserve">CUST-1074</t>
  </si>
  <si>
    <t xml:space="preserve">ORD-100657</t>
  </si>
  <si>
    <t xml:space="preserve">2024-09-26</t>
  </si>
  <si>
    <t xml:space="preserve">ORD-100196</t>
  </si>
  <si>
    <t xml:space="preserve">2024-03-02</t>
  </si>
  <si>
    <t xml:space="preserve">CUST-1083</t>
  </si>
  <si>
    <t xml:space="preserve">ORD-100480</t>
  </si>
  <si>
    <t xml:space="preserve">2024-05-18</t>
  </si>
  <si>
    <t xml:space="preserve">ORD-100712</t>
  </si>
  <si>
    <t xml:space="preserve">ORD-100403</t>
  </si>
  <si>
    <t xml:space="preserve">ORD-100120</t>
  </si>
  <si>
    <t xml:space="preserve">CUST-1159</t>
  </si>
  <si>
    <t xml:space="preserve">ORD-100513</t>
  </si>
  <si>
    <t xml:space="preserve">ORD-100610</t>
  </si>
  <si>
    <t xml:space="preserve">2024-12-12</t>
  </si>
  <si>
    <t xml:space="preserve">ORD-100523</t>
  </si>
  <si>
    <t xml:space="preserve">ORD-100476</t>
  </si>
  <si>
    <t xml:space="preserve">ORD-100527</t>
  </si>
  <si>
    <t xml:space="preserve">ORD-100283</t>
  </si>
  <si>
    <t xml:space="preserve">ORD-100191</t>
  </si>
  <si>
    <t xml:space="preserve">ORD-100767</t>
  </si>
  <si>
    <t xml:space="preserve">ORD-100837</t>
  </si>
  <si>
    <t xml:space="preserve">ORD-100745</t>
  </si>
  <si>
    <t xml:space="preserve">2024-02-24</t>
  </si>
  <si>
    <t xml:space="preserve">ORD-100014</t>
  </si>
  <si>
    <t xml:space="preserve">ORD-100072</t>
  </si>
  <si>
    <t xml:space="preserve">2024-05-22</t>
  </si>
  <si>
    <t xml:space="preserve">ORD-100097</t>
  </si>
  <si>
    <t xml:space="preserve">ORD-100222</t>
  </si>
  <si>
    <t xml:space="preserve">ORD-100654</t>
  </si>
  <si>
    <t xml:space="preserve">2024-05-15</t>
  </si>
  <si>
    <t xml:space="preserve">ORD-100525</t>
  </si>
  <si>
    <t xml:space="preserve">ORD-100711</t>
  </si>
  <si>
    <t xml:space="preserve">ORD-100204</t>
  </si>
  <si>
    <t xml:space="preserve">ORD-100808</t>
  </si>
  <si>
    <t xml:space="preserve">2024-11-13</t>
  </si>
  <si>
    <t xml:space="preserve">ORD-100421</t>
  </si>
  <si>
    <t xml:space="preserve">2024-12-27</t>
  </si>
  <si>
    <t xml:space="preserve">ORD-100600</t>
  </si>
  <si>
    <t xml:space="preserve">ORD-100574</t>
  </si>
  <si>
    <t xml:space="preserve">ORD-100524</t>
  </si>
  <si>
    <t xml:space="preserve">ORD-100508</t>
  </si>
  <si>
    <t xml:space="preserve">ORD-100280</t>
  </si>
  <si>
    <t xml:space="preserve">2024-03-14</t>
  </si>
  <si>
    <t xml:space="preserve">ORD-100004</t>
  </si>
  <si>
    <t xml:space="preserve">ORD-100744</t>
  </si>
  <si>
    <t xml:space="preserve">ORD-100462</t>
  </si>
  <si>
    <t xml:space="preserve">ORD-100135</t>
  </si>
  <si>
    <t xml:space="preserve">2024-12-11</t>
  </si>
  <si>
    <t xml:space="preserve">ORD-100016</t>
  </si>
  <si>
    <t xml:space="preserve">2024-03-26</t>
  </si>
  <si>
    <t xml:space="preserve">ORD-100069</t>
  </si>
  <si>
    <t xml:space="preserve">2024-03-06</t>
  </si>
  <si>
    <t xml:space="preserve">ORD-100074</t>
  </si>
  <si>
    <t xml:space="preserve">ORD-100045</t>
  </si>
  <si>
    <t xml:space="preserve">ORD-100290</t>
  </si>
  <si>
    <t xml:space="preserve">2024-05-27</t>
  </si>
  <si>
    <t xml:space="preserve">ORD-100586</t>
  </si>
  <si>
    <t xml:space="preserve">2024-06-24</t>
  </si>
  <si>
    <t xml:space="preserve">ORD-100437</t>
  </si>
  <si>
    <t xml:space="preserve">ORD-100798</t>
  </si>
  <si>
    <t xml:space="preserve">ORD-100098</t>
  </si>
  <si>
    <t xml:space="preserve">ORD-100818</t>
  </si>
  <si>
    <t xml:space="preserve">ORD-100250</t>
  </si>
  <si>
    <t xml:space="preserve">CUST-1098</t>
  </si>
  <si>
    <t xml:space="preserve">ORD-100429</t>
  </si>
  <si>
    <t xml:space="preserve">ORD-100056</t>
  </si>
  <si>
    <t xml:space="preserve">ORD-100845</t>
  </si>
  <si>
    <t xml:space="preserve">2024-12-21</t>
  </si>
  <si>
    <t xml:space="preserve">ORD-100071</t>
  </si>
  <si>
    <t xml:space="preserve">CUST-1066</t>
  </si>
  <si>
    <t xml:space="preserve">ORD-100796</t>
  </si>
  <si>
    <t xml:space="preserve">2024-09-23</t>
  </si>
  <si>
    <t xml:space="preserve">ORD-100384</t>
  </si>
  <si>
    <t xml:space="preserve">ORD-100440</t>
  </si>
  <si>
    <t xml:space="preserve">ORD-100060</t>
  </si>
  <si>
    <t xml:space="preserve">ORD-100372</t>
  </si>
  <si>
    <t xml:space="preserve">ORD-100779</t>
  </si>
  <si>
    <t xml:space="preserve">2024-03-10</t>
  </si>
  <si>
    <t xml:space="preserve">ORD-100190</t>
  </si>
  <si>
    <t xml:space="preserve">CUST-1145</t>
  </si>
  <si>
    <t xml:space="preserve">ORD-100504</t>
  </si>
  <si>
    <t xml:space="preserve">2024-10-20</t>
  </si>
  <si>
    <t xml:space="preserve">ORD-100231</t>
  </si>
  <si>
    <t xml:space="preserve">2024-04-23</t>
  </si>
  <si>
    <t xml:space="preserve">ORD-100804</t>
  </si>
  <si>
    <t xml:space="preserve">CUST-1010</t>
  </si>
  <si>
    <t xml:space="preserve">ORD-100789</t>
  </si>
  <si>
    <t xml:space="preserve">ORD-100690</t>
  </si>
  <si>
    <t xml:space="preserve">2024-07-19</t>
  </si>
  <si>
    <t xml:space="preserve">CUST-1093</t>
  </si>
  <si>
    <t xml:space="preserve">ORD-100005</t>
  </si>
  <si>
    <t xml:space="preserve">2024-09-27</t>
  </si>
  <si>
    <t xml:space="preserve">ORD-100806</t>
  </si>
  <si>
    <t xml:space="preserve">ORD-100101</t>
  </si>
  <si>
    <t xml:space="preserve">2024-10-15</t>
  </si>
  <si>
    <t xml:space="preserve">ORD-100228</t>
  </si>
  <si>
    <t xml:space="preserve">ORD-100038</t>
  </si>
  <si>
    <t xml:space="preserve">ORD-100073</t>
  </si>
  <si>
    <t xml:space="preserve">ORD-100139</t>
  </si>
  <si>
    <t xml:space="preserve">ORD-100675</t>
  </si>
  <si>
    <t xml:space="preserve">ORD-100044</t>
  </si>
  <si>
    <t xml:space="preserve">ORD-100370</t>
  </si>
  <si>
    <t xml:space="preserve">ORD-100130</t>
  </si>
  <si>
    <t xml:space="preserve">ORD-100401</t>
  </si>
  <si>
    <t xml:space="preserve">ORD-100155</t>
  </si>
  <si>
    <t xml:space="preserve">ORD-100450</t>
  </si>
  <si>
    <t xml:space="preserve">ORD-100812</t>
  </si>
  <si>
    <t xml:space="preserve">2024-04-13</t>
  </si>
  <si>
    <t xml:space="preserve">ORD-100277</t>
  </si>
  <si>
    <t xml:space="preserve">2024-11-17</t>
  </si>
  <si>
    <t xml:space="preserve">ORD-100694</t>
  </si>
  <si>
    <t xml:space="preserve">ORD-100710</t>
  </si>
  <si>
    <t xml:space="preserve">2024-12-17</t>
  </si>
  <si>
    <t xml:space="preserve">ORD-100810</t>
  </si>
  <si>
    <t xml:space="preserve">2024-05-24</t>
  </si>
  <si>
    <t xml:space="preserve">ORD-100488</t>
  </si>
  <si>
    <t xml:space="preserve">ORD-100252</t>
  </si>
  <si>
    <t xml:space="preserve">CUST-1154</t>
  </si>
  <si>
    <t xml:space="preserve">ORD-100239</t>
  </si>
  <si>
    <t xml:space="preserve">2024-08-07</t>
  </si>
  <si>
    <t xml:space="preserve">ORD-100255</t>
  </si>
  <si>
    <t xml:space="preserve">2024-11-23</t>
  </si>
  <si>
    <t xml:space="preserve">ORD-100850</t>
  </si>
  <si>
    <t xml:space="preserve">2024-01-10</t>
  </si>
  <si>
    <t xml:space="preserve">ORD-100460</t>
  </si>
  <si>
    <t xml:space="preserve">2024-11-03</t>
  </si>
  <si>
    <t xml:space="preserve">ORD-100832</t>
  </si>
  <si>
    <t xml:space="preserve">ORD-100319</t>
  </si>
  <si>
    <t xml:space="preserve">ORD-100267</t>
  </si>
  <si>
    <t xml:space="preserve">ORD-100814</t>
  </si>
  <si>
    <t xml:space="preserve">ORD-100465</t>
  </si>
  <si>
    <t xml:space="preserve">2024-01-09</t>
  </si>
  <si>
    <t xml:space="preserve">ORD-100096</t>
  </si>
  <si>
    <t xml:space="preserve">ORD-100754</t>
  </si>
  <si>
    <t xml:space="preserve">2024-08-02</t>
  </si>
  <si>
    <t xml:space="preserve">ORD-100592</t>
  </si>
  <si>
    <t xml:space="preserve">2024-04-07</t>
  </si>
  <si>
    <t xml:space="preserve">ORD-100648</t>
  </si>
  <si>
    <t xml:space="preserve">2024-10-14</t>
  </si>
  <si>
    <t xml:space="preserve">ORD-100068</t>
  </si>
  <si>
    <t xml:space="preserve">ORD-100279</t>
  </si>
  <si>
    <t xml:space="preserve">ORD-100310</t>
  </si>
  <si>
    <t xml:space="preserve">ORD-100070</t>
  </si>
  <si>
    <t xml:space="preserve">ORD-100345</t>
  </si>
  <si>
    <t xml:space="preserve">2024-02-04</t>
  </si>
  <si>
    <t xml:space="preserve">ORD-100102</t>
  </si>
  <si>
    <t xml:space="preserve">ORD-100154</t>
  </si>
  <si>
    <t xml:space="preserve">ORD-100012</t>
  </si>
  <si>
    <t xml:space="preserve">ORD-100053</t>
  </si>
  <si>
    <t xml:space="preserve">ORD-100240</t>
  </si>
  <si>
    <t xml:space="preserve">ORD-100291</t>
  </si>
  <si>
    <t xml:space="preserve">2024-12-14</t>
  </si>
  <si>
    <t xml:space="preserve">ORD-100167</t>
  </si>
  <si>
    <t xml:space="preserve">2024-06-17</t>
  </si>
  <si>
    <t xml:space="preserve">ORD-100365</t>
  </si>
  <si>
    <t xml:space="preserve">ORD-100509</t>
  </si>
  <si>
    <t xml:space="preserve">ORD-100296</t>
  </si>
  <si>
    <t xml:space="preserve">2024-09-17</t>
  </si>
  <si>
    <t xml:space="preserve">ORD-100088</t>
  </si>
  <si>
    <t xml:space="preserve">ORD-100683</t>
  </si>
  <si>
    <t xml:space="preserve">ORD-100425</t>
  </si>
  <si>
    <t xml:space="preserve">ORD-100849</t>
  </si>
  <si>
    <t xml:space="preserve">ORD-100025</t>
  </si>
  <si>
    <t xml:space="preserve">ORD-100544</t>
  </si>
  <si>
    <t xml:space="preserve">ORD-100226</t>
  </si>
  <si>
    <t xml:space="preserve">ORD-100669</t>
  </si>
  <si>
    <t xml:space="preserve">2024-07-17</t>
  </si>
  <si>
    <t xml:space="preserve">CUST-1104</t>
  </si>
  <si>
    <t xml:space="preserve">ORD-100738</t>
  </si>
  <si>
    <t xml:space="preserve">ORD-100526</t>
  </si>
  <si>
    <t xml:space="preserve">2024-06-11</t>
  </si>
  <si>
    <t xml:space="preserve">ORD-100256</t>
  </si>
  <si>
    <t xml:space="preserve">2024-12-13</t>
  </si>
  <si>
    <t xml:space="preserve">ORD-100782</t>
  </si>
  <si>
    <t xml:space="preserve">2024-03-24</t>
  </si>
  <si>
    <t xml:space="preserve">CUST-1063</t>
  </si>
  <si>
    <t xml:space="preserve">ORD-100764</t>
  </si>
  <si>
    <t xml:space="preserve">ORD-100512</t>
  </si>
  <si>
    <t xml:space="preserve">ORD-100468</t>
  </si>
  <si>
    <t xml:space="preserve">CUST-1021</t>
  </si>
  <si>
    <t xml:space="preserve">ORD-100324</t>
  </si>
  <si>
    <t xml:space="preserve">ORD-100018</t>
  </si>
  <si>
    <t xml:space="preserve">2024-05-26</t>
  </si>
  <si>
    <t xml:space="preserve">ORD-100678</t>
  </si>
  <si>
    <t xml:space="preserve">ORD-100390</t>
  </si>
  <si>
    <t xml:space="preserve">ORD-100727</t>
  </si>
  <si>
    <t xml:space="preserve">ORD-100248</t>
  </si>
  <si>
    <t xml:space="preserve">ORD-100244</t>
  </si>
  <si>
    <t xml:space="preserve">ORD-100607</t>
  </si>
  <si>
    <t xml:space="preserve">ORD-100792</t>
  </si>
  <si>
    <t xml:space="preserve">2024-08-28</t>
  </si>
  <si>
    <t xml:space="preserve">ORD-100786</t>
  </si>
  <si>
    <t xml:space="preserve">2024-11-14</t>
  </si>
  <si>
    <t xml:space="preserve">ORD-100771</t>
  </si>
  <si>
    <t xml:space="preserve">ORD-100037</t>
  </si>
  <si>
    <t xml:space="preserve">2024-03-20</t>
  </si>
  <si>
    <t xml:space="preserve">ORD-100537</t>
  </si>
  <si>
    <t xml:space="preserve">2024-07-28</t>
  </si>
  <si>
    <t xml:space="preserve">ORD-100115</t>
  </si>
  <si>
    <t xml:space="preserve">ORD-100737</t>
  </si>
  <si>
    <t xml:space="preserve">ORD-100628</t>
  </si>
  <si>
    <t xml:space="preserve">2024-11-12</t>
  </si>
  <si>
    <t xml:space="preserve">ORD-100178</t>
  </si>
  <si>
    <t xml:space="preserve">ORD-100446</t>
  </si>
  <si>
    <t xml:space="preserve">2024-01-25</t>
  </si>
  <si>
    <t xml:space="preserve">ORD-100834</t>
  </si>
  <si>
    <t xml:space="preserve">ORD-100202</t>
  </si>
  <si>
    <t xml:space="preserve">ORD-100471</t>
  </si>
  <si>
    <t xml:space="preserve">ORD-100698</t>
  </si>
  <si>
    <t xml:space="preserve">2024-11-30</t>
  </si>
  <si>
    <t xml:space="preserve">ORD-100378</t>
  </si>
  <si>
    <t xml:space="preserve">ORD-100232</t>
  </si>
  <si>
    <t xml:space="preserve">ORD-100326</t>
  </si>
  <si>
    <t xml:space="preserve">ORD-100752</t>
  </si>
  <si>
    <t xml:space="preserve">ORD-100692</t>
  </si>
  <si>
    <t xml:space="preserve">2024-12-16</t>
  </si>
  <si>
    <t xml:space="preserve">ORD-100588</t>
  </si>
  <si>
    <t xml:space="preserve">ORD-100105</t>
  </si>
  <si>
    <t xml:space="preserve">ORD-100776</t>
  </si>
  <si>
    <t xml:space="preserve">CUST-1151</t>
  </si>
  <si>
    <t xml:space="preserve">ORD-100180</t>
  </si>
  <si>
    <t xml:space="preserve">2024-02-16</t>
  </si>
  <si>
    <t xml:space="preserve">ORD-100046</t>
  </si>
  <si>
    <t xml:space="preserve">ORD-100203</t>
  </si>
  <si>
    <t xml:space="preserve">ORD-100157</t>
  </si>
  <si>
    <t xml:space="preserve">ORD-100258</t>
  </si>
  <si>
    <t xml:space="preserve">ORD-100740</t>
  </si>
  <si>
    <t xml:space="preserve">ORD-100616</t>
  </si>
  <si>
    <t xml:space="preserve">2024-10-29</t>
  </si>
  <si>
    <t xml:space="preserve">ORD-100553</t>
  </si>
  <si>
    <t xml:space="preserve">ORD-100439</t>
  </si>
  <si>
    <t xml:space="preserve">ORD-100454</t>
  </si>
  <si>
    <t xml:space="preserve">2024-02-06</t>
  </si>
  <si>
    <t xml:space="preserve">ORD-100260</t>
  </si>
  <si>
    <t xml:space="preserve">2024-11-28</t>
  </si>
  <si>
    <t xml:space="preserve">ORD-100156</t>
  </si>
  <si>
    <t xml:space="preserve">ORD-100594</t>
  </si>
  <si>
    <t xml:space="preserve">2024-02-03</t>
  </si>
  <si>
    <t xml:space="preserve">ORD-100100</t>
  </si>
  <si>
    <t xml:space="preserve">ORD-100653</t>
  </si>
  <si>
    <t xml:space="preserve">ORD-100482</t>
  </si>
  <si>
    <t xml:space="preserve">ORD-100169</t>
  </si>
  <si>
    <t xml:space="preserve">ORD-100847</t>
  </si>
  <si>
    <t xml:space="preserve">ORD-100699</t>
  </si>
  <si>
    <t xml:space="preserve">ORD-100601</t>
  </si>
  <si>
    <t xml:space="preserve">ORD-100583</t>
  </si>
  <si>
    <t xml:space="preserve">ORD-100407</t>
  </si>
  <si>
    <t xml:space="preserve">2024-09-22</t>
  </si>
  <si>
    <t xml:space="preserve">ORD-100682</t>
  </si>
  <si>
    <t xml:space="preserve">ORD-100338</t>
  </si>
  <si>
    <t xml:space="preserve">ORD-100317</t>
  </si>
  <si>
    <t xml:space="preserve">2024-03-31</t>
  </si>
  <si>
    <t xml:space="preserve">ORD-100772</t>
  </si>
  <si>
    <t xml:space="preserve">ORD-100839</t>
  </si>
  <si>
    <t xml:space="preserve">ORD-100515</t>
  </si>
  <si>
    <t xml:space="preserve">ORD-100111</t>
  </si>
  <si>
    <t xml:space="preserve">ORD-100763</t>
  </si>
  <si>
    <t xml:space="preserve">ORD-100706</t>
  </si>
  <si>
    <t xml:space="preserve">2024-09-19</t>
  </si>
  <si>
    <t xml:space="preserve">ORD-100666</t>
  </si>
  <si>
    <t xml:space="preserve">2024-04-15</t>
  </si>
  <si>
    <t xml:space="preserve">ORD-100605</t>
  </si>
  <si>
    <t xml:space="preserve">ORD-100138</t>
  </si>
  <si>
    <t xml:space="preserve">ORD-100357</t>
  </si>
  <si>
    <t xml:space="preserve">ORD-100188</t>
  </si>
  <si>
    <t xml:space="preserve">ORD-100565</t>
  </si>
  <si>
    <t xml:space="preserve">ORD-100691</t>
  </si>
  <si>
    <t xml:space="preserve">2024-09-13</t>
  </si>
  <si>
    <t xml:space="preserve">ORD-100089</t>
  </si>
  <si>
    <t xml:space="preserve">2024-05-03</t>
  </si>
  <si>
    <t xml:space="preserve">ORD-100485</t>
  </si>
  <si>
    <t xml:space="preserve">ORD-100035</t>
  </si>
  <si>
    <t xml:space="preserve">CUST-1110</t>
  </si>
  <si>
    <t xml:space="preserve">ORD-100720</t>
  </si>
  <si>
    <t xml:space="preserve">2024-10-26</t>
  </si>
  <si>
    <t xml:space="preserve">ORD-100302</t>
  </si>
  <si>
    <t xml:space="preserve">ORD-100292</t>
  </si>
  <si>
    <t xml:space="preserve">ORD-100095</t>
  </si>
  <si>
    <t xml:space="preserve">ORD-100387</t>
  </si>
  <si>
    <t xml:space="preserve">2024-02-22</t>
  </si>
  <si>
    <t xml:space="preserve">ORD-100030</t>
  </si>
  <si>
    <t xml:space="preserve">ORD-100133</t>
  </si>
  <si>
    <t xml:space="preserve">ORD-100514</t>
  </si>
  <si>
    <t xml:space="preserve">ORD-100606</t>
  </si>
  <si>
    <t xml:space="preserve">ORD-100114</t>
  </si>
  <si>
    <t xml:space="preserve">ORD-100243</t>
  </si>
  <si>
    <t xml:space="preserve">ORD-100766</t>
  </si>
  <si>
    <t xml:space="preserve">2024-03-23</t>
  </si>
  <si>
    <t xml:space="preserve">ORD-100242</t>
  </si>
  <si>
    <t xml:space="preserve">ORD-100269</t>
  </si>
  <si>
    <t xml:space="preserve">2024-10-21</t>
  </si>
  <si>
    <t xml:space="preserve">ORD-100406</t>
  </si>
  <si>
    <t xml:space="preserve">2024-08-08</t>
  </si>
  <si>
    <t xml:space="preserve">ORD-100644</t>
  </si>
  <si>
    <t xml:space="preserve">ORD-100490</t>
  </si>
  <si>
    <t xml:space="preserve">ORD-100022</t>
  </si>
  <si>
    <t xml:space="preserve">ORD-100238</t>
  </si>
  <si>
    <t xml:space="preserve">ORD-100063</t>
  </si>
  <si>
    <t xml:space="preserve">ORD-100027</t>
  </si>
  <si>
    <t xml:space="preserve">ORD-100389</t>
  </si>
  <si>
    <t xml:space="preserve">ORD-100078</t>
  </si>
  <si>
    <t xml:space="preserve">ORD-100140</t>
  </si>
  <si>
    <t xml:space="preserve">2024-07-29</t>
  </si>
  <si>
    <t xml:space="preserve">ORD-100230</t>
  </si>
  <si>
    <t xml:space="preserve">ORD-100386</t>
  </si>
  <si>
    <t xml:space="preserve">ORD-100797</t>
  </si>
  <si>
    <t xml:space="preserve">ORD-100631</t>
  </si>
  <si>
    <t xml:space="preserve">ORD-100833</t>
  </si>
  <si>
    <t xml:space="preserve">ORD-100024</t>
  </si>
  <si>
    <t xml:space="preserve">ORD-100426</t>
  </si>
  <si>
    <t xml:space="preserve">CUST-1091</t>
  </si>
  <si>
    <t xml:space="preserve">ORD-100172</t>
  </si>
  <si>
    <t xml:space="preserve">ORD-100263</t>
  </si>
  <si>
    <t xml:space="preserve">ORD-100780</t>
  </si>
  <si>
    <t xml:space="preserve">ORD-100344</t>
  </si>
  <si>
    <t xml:space="preserve">ORD-100337</t>
  </si>
  <si>
    <t xml:space="preserve">ORD-100043</t>
  </si>
  <si>
    <t xml:space="preserve">ORD-100619</t>
  </si>
  <si>
    <t xml:space="preserve">ORD-100213</t>
  </si>
  <si>
    <t xml:space="preserve">2024-08-31</t>
  </si>
  <si>
    <t xml:space="preserve">ORD-100835</t>
  </si>
  <si>
    <t xml:space="preserve">ORD-100695</t>
  </si>
  <si>
    <t xml:space="preserve">ORD-100300</t>
  </si>
  <si>
    <t xml:space="preserve">ORD-100143</t>
  </si>
  <si>
    <t xml:space="preserve">ORD-100400</t>
  </si>
  <si>
    <t xml:space="preserve">ORD-100039</t>
  </si>
  <si>
    <t xml:space="preserve">2024-03-22</t>
  </si>
  <si>
    <t xml:space="preserve">ORD-100340</t>
  </si>
  <si>
    <t xml:space="preserve">ORD-100083</t>
  </si>
  <si>
    <t xml:space="preserve">ORD-100629</t>
  </si>
  <si>
    <t xml:space="preserve">ORD-100840</t>
  </si>
  <si>
    <t xml:space="preserve">ORD-100360</t>
  </si>
  <si>
    <t xml:space="preserve">ORD-100262</t>
  </si>
  <si>
    <t xml:space="preserve">ORD-100498</t>
  </si>
  <si>
    <t xml:space="preserve">ORD-100129</t>
  </si>
  <si>
    <t xml:space="preserve">2024-06-19</t>
  </si>
  <si>
    <t xml:space="preserve">ORD-100087</t>
  </si>
  <si>
    <t xml:space="preserve">2024-06-23</t>
  </si>
  <si>
    <t xml:space="preserve">ORD-100658</t>
  </si>
  <si>
    <t xml:space="preserve">ORD-100278</t>
  </si>
  <si>
    <t xml:space="preserve">ORD-100417</t>
  </si>
  <si>
    <t xml:space="preserve">ORD-100217</t>
  </si>
  <si>
    <t xml:space="preserve">ORD-100570</t>
  </si>
  <si>
    <t xml:space="preserve">ORD-100199</t>
  </si>
  <si>
    <t xml:space="preserve">ORD-100322</t>
  </si>
  <si>
    <t xml:space="preserve">ORD-100598</t>
  </si>
  <si>
    <t xml:space="preserve">ORD-100589</t>
  </si>
  <si>
    <t xml:space="preserve">ORD-100552</t>
  </si>
  <si>
    <t xml:space="preserve">ORD-100483</t>
  </si>
  <si>
    <t xml:space="preserve">ORD-100436</t>
  </si>
  <si>
    <t xml:space="preserve">CUST-1136</t>
  </si>
  <si>
    <t xml:space="preserve">ORD-100210</t>
  </si>
  <si>
    <t xml:space="preserve">ORD-100449</t>
  </si>
  <si>
    <t xml:space="preserve">ORD-100481</t>
  </si>
  <si>
    <t xml:space="preserve">ORD-100760</t>
  </si>
  <si>
    <t xml:space="preserve">ORD-100811</t>
  </si>
  <si>
    <t xml:space="preserve">ORD-100276</t>
  </si>
  <si>
    <t xml:space="preserve">ORD-100458</t>
  </si>
  <si>
    <t xml:space="preserve">ORD-100397</t>
  </si>
  <si>
    <t xml:space="preserve">ORD-100179</t>
  </si>
  <si>
    <t xml:space="preserve">ORD-100461</t>
  </si>
  <si>
    <t xml:space="preserve">ORD-100475</t>
  </si>
  <si>
    <t xml:space="preserve">ORD-100768</t>
  </si>
  <si>
    <t xml:space="preserve">ORD-100761</t>
  </si>
  <si>
    <t xml:space="preserve">CUST-1085</t>
  </si>
  <si>
    <t xml:space="preserve">ORD-100286</t>
  </si>
  <si>
    <t xml:space="preserve">ORD-100379</t>
  </si>
  <si>
    <t xml:space="preserve">ORD-100614</t>
  </si>
  <si>
    <t xml:space="preserve">ORD-100363</t>
  </si>
  <si>
    <t xml:space="preserve">ORD-100715</t>
  </si>
  <si>
    <t xml:space="preserve">ORD-100730</t>
  </si>
  <si>
    <t xml:space="preserve">ORD-100173</t>
  </si>
  <si>
    <t xml:space="preserve">2024-01-16</t>
  </si>
  <si>
    <t xml:space="preserve">ORD-100805</t>
  </si>
  <si>
    <t xml:space="preserve">2024-04-05</t>
  </si>
  <si>
    <t xml:space="preserve">ORD-100118</t>
  </si>
  <si>
    <t xml:space="preserve">ORD-100122</t>
  </si>
  <si>
    <t xml:space="preserve">2024-11-18</t>
  </si>
  <si>
    <t xml:space="preserve">ORD-100215</t>
  </si>
  <si>
    <t xml:space="preserve">ORD-100453</t>
  </si>
  <si>
    <t xml:space="preserve">ORD-100448</t>
  </si>
  <si>
    <t xml:space="preserve">ORD-100325</t>
  </si>
  <si>
    <t xml:space="preserve">ORD-100253</t>
  </si>
  <si>
    <t xml:space="preserve">ORD-100433</t>
  </si>
  <si>
    <t xml:space="preserve">ORD-100404</t>
  </si>
  <si>
    <t xml:space="preserve">ORD-100327</t>
  </si>
  <si>
    <t xml:space="preserve">ORD-100358</t>
  </si>
  <si>
    <t xml:space="preserve">ORD-100272</t>
  </si>
  <si>
    <t xml:space="preserve">ORD-100435</t>
  </si>
  <si>
    <t xml:space="preserve">ORD-100637</t>
  </si>
  <si>
    <t xml:space="preserve">2024-08-09</t>
  </si>
  <si>
    <t xml:space="preserve">ORD-100625</t>
  </si>
  <si>
    <t xml:space="preserve">ORD-100011</t>
  </si>
  <si>
    <t xml:space="preserve">2024-02-18</t>
  </si>
  <si>
    <t xml:space="preserve">ORD-100055</t>
  </si>
  <si>
    <t xml:space="preserve">ORD-100788</t>
  </si>
  <si>
    <t xml:space="preserve">ORD-100141</t>
  </si>
  <si>
    <t xml:space="preserve">ORD-100809</t>
  </si>
  <si>
    <t xml:space="preserve">ORD-100542</t>
  </si>
  <si>
    <t xml:space="preserve">ORD-100643</t>
  </si>
  <si>
    <t xml:space="preserve">ORD-100573</t>
  </si>
  <si>
    <t xml:space="preserve">ORD-100206</t>
  </si>
  <si>
    <t xml:space="preserve">ORD-100015</t>
  </si>
  <si>
    <t xml:space="preserve">ORD-100298</t>
  </si>
  <si>
    <t xml:space="preserve">ORD-100464</t>
  </si>
  <si>
    <t xml:space="preserve">ORD-100153</t>
  </si>
  <si>
    <t xml:space="preserve">ORD-100281</t>
  </si>
  <si>
    <t xml:space="preserve">ORD-100794</t>
  </si>
  <si>
    <t xml:space="preserve">2024-04-11</t>
  </si>
  <si>
    <t xml:space="preserve">ORD-100185</t>
  </si>
  <si>
    <t xml:space="preserve">ORD-100701</t>
  </si>
  <si>
    <t xml:space="preserve">2024-04-27</t>
  </si>
  <si>
    <t xml:space="preserve">ORD-100561</t>
  </si>
  <si>
    <t xml:space="preserve">ORD-100670</t>
  </si>
  <si>
    <t xml:space="preserve">ORD-100420</t>
  </si>
  <si>
    <t xml:space="preserve">ORD-100562</t>
  </si>
  <si>
    <t xml:space="preserve">ORD-100342</t>
  </si>
  <si>
    <t xml:space="preserve">2024-06-01</t>
  </si>
  <si>
    <t xml:space="preserve">ORD-100823</t>
  </si>
  <si>
    <t xml:space="preserve">ORD-100717</t>
  </si>
  <si>
    <t xml:space="preserve">ORD-100151</t>
  </si>
  <si>
    <t xml:space="preserve">ORD-100419</t>
  </si>
  <si>
    <t xml:space="preserve">ORD-100520</t>
  </si>
  <si>
    <t xml:space="preserve">ORD-100703</t>
  </si>
  <si>
    <t xml:space="preserve">ORD-100455</t>
  </si>
  <si>
    <t xml:space="preserve">ORD-100162</t>
  </si>
  <si>
    <t xml:space="preserve">ORD-100587</t>
  </si>
  <si>
    <t xml:space="preserve">ORD-100145</t>
  </si>
  <si>
    <t xml:space="preserve">ORD-100612</t>
  </si>
  <si>
    <t xml:space="preserve">2024-08-12</t>
  </si>
  <si>
    <t xml:space="preserve">ORD-100813</t>
  </si>
  <si>
    <t xml:space="preserve">ORD-100528</t>
  </si>
  <si>
    <t xml:space="preserve">ORD-100556</t>
  </si>
  <si>
    <t xml:space="preserve">ORD-100381</t>
  </si>
  <si>
    <t xml:space="preserve">ORD-100376</t>
  </si>
  <si>
    <t xml:space="preserve">ORD-100827</t>
  </si>
  <si>
    <t xml:space="preserve">ORD-100571</t>
  </si>
  <si>
    <t xml:space="preserve">2024-05-09</t>
  </si>
  <si>
    <t xml:space="preserve">ORD-100148</t>
  </si>
  <si>
    <t xml:space="preserve">ORD-100680</t>
  </si>
  <si>
    <t xml:space="preserve">ORD-100474</t>
  </si>
  <si>
    <t xml:space="preserve">ORD-100457</t>
  </si>
  <si>
    <t xml:space="preserve">ORD-100221</t>
  </si>
  <si>
    <t xml:space="preserve">ORD-100175</t>
  </si>
  <si>
    <t xml:space="preserve">ORD-100268</t>
  </si>
  <si>
    <t xml:space="preserve">ORD-100076</t>
  </si>
  <si>
    <t xml:space="preserve">2024-04-21</t>
  </si>
  <si>
    <t xml:space="preserve">ORD-100484</t>
  </si>
  <si>
    <t xml:space="preserve">ORD-100660</t>
  </si>
  <si>
    <t xml:space="preserve">ORD-100646</t>
  </si>
  <si>
    <t xml:space="preserve">ORD-100413</t>
  </si>
  <si>
    <t xml:space="preserve">ORD-100007</t>
  </si>
  <si>
    <t xml:space="preserve">ORD-100665</t>
  </si>
  <si>
    <t xml:space="preserve">ORD-100227</t>
  </si>
  <si>
    <t xml:space="preserve">ORD-100216</t>
  </si>
  <si>
    <t xml:space="preserve">ORD-100099</t>
  </si>
  <si>
    <t xml:space="preserve">ORD-100249</t>
  </si>
  <si>
    <t xml:space="preserve">ORD-100106</t>
  </si>
  <si>
    <t xml:space="preserve">ORD-100696</t>
  </si>
  <si>
    <t xml:space="preserve">ORD-100757</t>
  </si>
  <si>
    <t xml:space="preserve">ORD-100762</t>
  </si>
  <si>
    <t xml:space="preserve">ORD-100119</t>
  </si>
  <si>
    <t xml:space="preserve">ORD-100207</t>
  </si>
  <si>
    <t xml:space="preserve">2024-09-09</t>
  </si>
  <si>
    <t xml:space="preserve">ORD-100113</t>
  </si>
  <si>
    <t xml:space="preserve">2024-05-17</t>
  </si>
  <si>
    <t xml:space="preserve">ORD-100529</t>
  </si>
  <si>
    <t xml:space="preserve">2024-12-20</t>
  </si>
  <si>
    <t xml:space="preserve">ORD-100305</t>
  </si>
  <si>
    <t xml:space="preserve">ORD-100020</t>
  </si>
  <si>
    <t xml:space="preserve">ORD-100427</t>
  </si>
  <si>
    <t xml:space="preserve">ORD-100743</t>
  </si>
  <si>
    <t xml:space="preserve">CUST-1046</t>
  </si>
  <si>
    <t xml:space="preserve">ORD-100394</t>
  </si>
  <si>
    <t xml:space="preserve">ORD-100383</t>
  </si>
  <si>
    <t xml:space="preserve">2024-07-01</t>
  </si>
  <si>
    <t xml:space="preserve">ORD-100008</t>
  </si>
  <si>
    <t xml:space="preserve">ORD-100161</t>
  </si>
  <si>
    <t xml:space="preserve">ORD-100352</t>
  </si>
  <si>
    <t xml:space="preserve">ORD-100647</t>
  </si>
  <si>
    <t xml:space="preserve">ORD-100047</t>
  </si>
  <si>
    <t xml:space="preserve">ORD-100635</t>
  </si>
  <si>
    <t xml:space="preserve">ORD-100424</t>
  </si>
  <si>
    <t xml:space="preserve">ORD-100311</t>
  </si>
  <si>
    <t xml:space="preserve">ORD-100551</t>
  </si>
  <si>
    <t xml:space="preserve">ORD-100467</t>
  </si>
  <si>
    <t xml:space="preserve">ORD-100451</t>
  </si>
  <si>
    <t xml:space="preserve">ORD-100294</t>
  </si>
  <si>
    <t xml:space="preserve">ORD-100604</t>
  </si>
  <si>
    <t xml:space="preserve">ORD-100615</t>
  </si>
  <si>
    <t xml:space="preserve">ORD-100218</t>
  </si>
  <si>
    <t xml:space="preserve">ORD-100377</t>
  </si>
  <si>
    <t xml:space="preserve">ORD-100124</t>
  </si>
  <si>
    <t xml:space="preserve">ORD-100549</t>
  </si>
  <si>
    <t xml:space="preserve">ORD-100200</t>
  </si>
  <si>
    <t xml:space="preserve">ORD-100423</t>
  </si>
  <si>
    <t xml:space="preserve">ORD-100003</t>
  </si>
  <si>
    <t xml:space="preserve">ORD-100395</t>
  </si>
  <si>
    <t xml:space="preserve">ORD-100560</t>
  </si>
  <si>
    <t xml:space="preserve">ORD-100736</t>
  </si>
  <si>
    <t xml:space="preserve">ORD-100029</t>
  </si>
  <si>
    <t xml:space="preserve">ORD-100713</t>
  </si>
  <si>
    <t xml:space="preserve">ORD-100534</t>
  </si>
  <si>
    <t xml:space="preserve">2024-03-28</t>
  </si>
  <si>
    <t xml:space="preserve">ORD-100686</t>
  </si>
  <si>
    <t xml:space="preserve">2024-06-05</t>
  </si>
  <si>
    <t xml:space="preserve">ORD-100021</t>
  </si>
  <si>
    <t xml:space="preserve">2024-02-11</t>
  </si>
  <si>
    <t xml:space="preserve">ORD-100032</t>
  </si>
  <si>
    <t xml:space="preserve">ORD-100599</t>
  </si>
  <si>
    <t xml:space="preserve">ORD-100576</t>
  </si>
  <si>
    <t xml:space="preserve">ORD-100492</t>
  </si>
  <si>
    <t xml:space="preserve">ORD-100348</t>
  </si>
  <si>
    <t xml:space="preserve">ORD-100477</t>
  </si>
  <si>
    <t xml:space="preserve">ORD-100784</t>
  </si>
  <si>
    <t xml:space="preserve">2024-09-29</t>
  </si>
  <si>
    <t xml:space="preserve">ORD-100082</t>
  </si>
  <si>
    <t xml:space="preserve">ORD-100495</t>
  </si>
  <si>
    <t xml:space="preserve">ORD-100382</t>
  </si>
  <si>
    <t xml:space="preserve">ORD-100742</t>
  </si>
  <si>
    <t xml:space="preserve">ORD-100010</t>
  </si>
  <si>
    <t xml:space="preserve">ORD-100323</t>
  </si>
  <si>
    <t xml:space="preserve">ORD-100411</t>
  </si>
  <si>
    <t xml:space="preserve">ORD-100171</t>
  </si>
  <si>
    <t xml:space="preserve">ORD-100828</t>
  </si>
  <si>
    <t xml:space="preserve">CUST-1065</t>
  </si>
  <si>
    <t xml:space="preserve">ORD-100822</t>
  </si>
  <si>
    <t xml:space="preserve">ORD-100564</t>
  </si>
  <si>
    <t xml:space="preserve">ORD-100778</t>
  </si>
  <si>
    <t xml:space="preserve">ORD-100441</t>
  </si>
  <si>
    <t xml:space="preserve">ORD-100844</t>
  </si>
  <si>
    <t xml:space="preserve">ORD-100103</t>
  </si>
  <si>
    <t xml:space="preserve">ORD-100271</t>
  </si>
  <si>
    <t xml:space="preserve">ORD-100531</t>
  </si>
  <si>
    <t xml:space="preserve">2024-07-12</t>
  </si>
  <si>
    <t xml:space="preserve">ORD-100316</t>
  </si>
  <si>
    <t xml:space="preserve">ORD-100355</t>
  </si>
  <si>
    <t xml:space="preserve">ORD-100350</t>
  </si>
  <si>
    <t xml:space="preserve">ORD-100144</t>
  </si>
  <si>
    <t xml:space="preserve">2024-08-05</t>
  </si>
  <si>
    <t xml:space="preserve">ORD-100062</t>
  </si>
  <si>
    <t xml:space="preserve">ORD-100270</t>
  </si>
  <si>
    <t xml:space="preserve">ORD-100621</t>
  </si>
  <si>
    <t xml:space="preserve">ORD-100668</t>
  </si>
  <si>
    <t xml:space="preserve">ORD-100459</t>
  </si>
  <si>
    <t xml:space="preserve">ORD-100116</t>
  </si>
  <si>
    <t xml:space="preserve">ORD-100829</t>
  </si>
  <si>
    <t xml:space="preserve">ORD-100086</t>
  </si>
  <si>
    <t xml:space="preserve">ORD-100049</t>
  </si>
  <si>
    <t xml:space="preserve">ORD-100704</t>
  </si>
  <si>
    <t xml:space="preserve">ORD-100361</t>
  </si>
  <si>
    <t xml:space="preserve">ORD-100137</t>
  </si>
  <si>
    <t xml:space="preserve">ORD-100134</t>
  </si>
  <si>
    <t xml:space="preserve">ORD-100362</t>
  </si>
  <si>
    <t xml:space="preserve">ORD-100341</t>
  </si>
  <si>
    <t xml:space="preserve">ORD-100452</t>
  </si>
  <si>
    <t xml:space="preserve">RETAILPULSE BI — KPI SUMMARY</t>
  </si>
  <si>
    <t xml:space="preserve">KPI</t>
  </si>
  <si>
    <t xml:space="preserve">Value</t>
  </si>
  <si>
    <t xml:space="preserve">Total Revenue</t>
  </si>
  <si>
    <t xml:space="preserve">Total Profit</t>
  </si>
  <si>
    <t xml:space="preserve">Total Orders</t>
  </si>
  <si>
    <t xml:space="preserve">Total Units Sold</t>
  </si>
  <si>
    <t xml:space="preserve">Average Order Value</t>
  </si>
  <si>
    <t xml:space="preserve">Overall Profit Margin</t>
  </si>
  <si>
    <t xml:space="preserve">RETAILPULSE BI — CATEGORY ANALYSIS</t>
  </si>
  <si>
    <t xml:space="preserve">Profit Margin</t>
  </si>
  <si>
    <t xml:space="preserve">Units Sold</t>
  </si>
  <si>
    <t xml:space="preserve">RETAILPULSE BI — REGIONAL ANALYSIS</t>
  </si>
  <si>
    <t xml:space="preserve">RETAILPULSE BI — PRODUCT ANALYSIS</t>
  </si>
  <si>
    <t xml:space="preserve">TOP 10 PRODUCTS BY REVENUE</t>
  </si>
  <si>
    <t xml:space="preserve">Product Name</t>
  </si>
  <si>
    <t xml:space="preserve">TOP 10 PRODUCTS BY PROFIT</t>
  </si>
  <si>
    <t xml:space="preserve">BOTTOM 10 PRODUCTS BY REVENUE (LOW PERFORMERS)</t>
  </si>
  <si>
    <t xml:space="preserve">RETAILPULSE BI — MONTHLY TREND ANALYSIS</t>
  </si>
  <si>
    <t xml:space="preserve">Orders</t>
  </si>
  <si>
    <t xml:space="preserve">MoM Revenue Growth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</si>
  <si>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</si>
  <si>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</si>
  <si>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</si>
  <si>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</si>
  <si>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</si>
  <si>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</si>
  <si>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</si>
  <si>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</si>
  <si>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</si>
  <si>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</si>
  <si>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</si>
  <si>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</si>
  <si>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Best month by revenue: 2024-11</t>
  </si>
  <si>
    <t xml:space="preserve">Weakest month by revenue: 2024-06</t>
  </si>
  <si>
    <t xml:space="preserve">RETAILPULSE BI — SALES CHANNEL &amp; TOP CUSTOMERS</t>
  </si>
  <si>
    <t xml:space="preserve">SALES CHANNEL COMPARISON</t>
  </si>
  <si>
    <t xml:space="preserve">TOP 10 CUSTOMERS BY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</si>
</sst>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Category_Analysis!B3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Category_Analysis!$A$4:$A$8</c:f>
              <c:strCache>
                <c:ptCount val="5"/>
                <c:pt idx="0">
                  <c:v>Beauty &amp; Personal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 &amp; Fitness</c:v>
                </c:pt>
              </c:strCache>
            </c:strRef>
          </c:cat>
          <c:val>
            <c:numRef>
              <c:f>Category_Analysis!$B$4:$B$8</c:f>
              <c:numCache>
                <c:formatCode>#,##0</c:formatCode>
                <c:ptCount val="5"/>
                <c:pt idx="0">
                  <c:v>2298901.7</c:v>
                </c:pt>
                <c:pt idx="1">
                  <c:v>1921388.4</c:v>
                </c:pt>
                <c:pt idx="2">
                  <c:v>2278983.65</c:v>
                </c:pt>
                <c:pt idx="3">
                  <c:v>1938977.85</c:v>
                </c:pt>
                <c:pt idx="4">
                  <c:v>3006511.45</c:v>
                </c:pt>
              </c:numCache>
            </c:numRef>
          </c:val>
        </c:ser>
        <c:ser>
          <c:idx val="1"/>
          <c:order val="1"/>
          <c:tx>
            <c:strRef>
              <c:f>Category_Analysis!C3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Category_Analysis!$A$4:$A$8</c:f>
              <c:strCache>
                <c:ptCount val="5"/>
                <c:pt idx="0">
                  <c:v>Beauty &amp; Personal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 &amp; Fitness</c:v>
                </c:pt>
              </c:strCache>
            </c:strRef>
          </c:cat>
          <c:val>
            <c:numRef>
              <c:f>Category_Analysis!$C$4:$C$8</c:f>
              <c:numCache>
                <c:formatCode>#,##0</c:formatCode>
                <c:ptCount val="5"/>
                <c:pt idx="0">
                  <c:v>806720.57</c:v>
                </c:pt>
                <c:pt idx="1">
                  <c:v>673445.68</c:v>
                </c:pt>
                <c:pt idx="2">
                  <c:v>1015170.9</c:v>
                </c:pt>
                <c:pt idx="3">
                  <c:v>841128.21</c:v>
                </c:pt>
                <c:pt idx="4">
                  <c:v>1230543.97</c:v>
                </c:pt>
              </c:numCache>
            </c:numRef>
          </c:val>
        </c:ser>
        <c:gapWidth val="150"/>
        <c:overlap val="0"/>
        <c:axId val="18751643"/>
        <c:axId val="47314697"/>
      </c:barChart>
      <c:catAx>
        <c:axId val="18751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14697"/>
        <c:crosses val="autoZero"/>
        <c:auto val="1"/>
        <c:lblAlgn val="ctr"/>
        <c:lblOffset val="100"/>
        <c:noMultiLvlLbl val="0"/>
      </c:catAx>
      <c:valAx>
        <c:axId val="47314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516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Regional_Analysis!C3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Regional_Analysis!$A$4:$A$8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Regional_Analysis!$C$4:$C$8</c:f>
              <c:numCache>
                <c:formatCode>#,##0</c:formatCode>
                <c:ptCount val="5"/>
                <c:pt idx="0">
                  <c:v>1200664.85</c:v>
                </c:pt>
                <c:pt idx="1">
                  <c:v>978532.16</c:v>
                </c:pt>
                <c:pt idx="2">
                  <c:v>1227124.67</c:v>
                </c:pt>
                <c:pt idx="3">
                  <c:v>29397.42</c:v>
                </c:pt>
                <c:pt idx="4">
                  <c:v>1131290.23</c:v>
                </c:pt>
              </c:numCache>
            </c:numRef>
          </c:val>
        </c:ser>
        <c:gapWidth val="150"/>
        <c:overlap val="0"/>
        <c:axId val="6432490"/>
        <c:axId val="79225942"/>
      </c:barChart>
      <c:catAx>
        <c:axId val="64324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25942"/>
        <c:crosses val="autoZero"/>
        <c:auto val="1"/>
        <c:lblAlgn val="ctr"/>
        <c:lblOffset val="100"/>
        <c:noMultiLvlLbl val="0"/>
      </c:catAx>
      <c:valAx>
        <c:axId val="79225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24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Product_Analysis!$A$5:$A$14</c:f>
              <c:strCache>
                <c:ptCount val="10"/>
                <c:pt idx="0">
                  <c:v>Men's T-Shirt</c:v>
                </c:pt>
                <c:pt idx="1">
                  <c:v>Gym Bag</c:v>
                </c:pt>
                <c:pt idx="2">
                  <c:v>Trimmer</c:v>
                </c:pt>
                <c:pt idx="3">
                  <c:v>Football</c:v>
                </c:pt>
                <c:pt idx="4">
                  <c:v>Lipstick Set</c:v>
                </c:pt>
                <c:pt idx="5">
                  <c:v>LED Monitor</c:v>
                </c:pt>
                <c:pt idx="6">
                  <c:v>Resistance Bands</c:v>
                </c:pt>
                <c:pt idx="7">
                  <c:v>Non-Stick Pan</c:v>
                </c:pt>
                <c:pt idx="8">
                  <c:v>Women's Kurti</c:v>
                </c:pt>
                <c:pt idx="9">
                  <c:v>Dumbbell Set</c:v>
                </c:pt>
              </c:strCache>
            </c:strRef>
          </c:cat>
          <c:val>
            <c:numRef>
              <c:f>Product_Analysis!$B$4:$B$14</c:f>
              <c:numCache>
                <c:formatCode>#,##0</c:formatCode>
                <c:ptCount val="11"/>
                <c:pt idx="1">
                  <c:v>739755.5</c:v>
                </c:pt>
                <c:pt idx="2">
                  <c:v>694717.05</c:v>
                </c:pt>
                <c:pt idx="3">
                  <c:v>625758.1</c:v>
                </c:pt>
                <c:pt idx="4">
                  <c:v>511563.15</c:v>
                </c:pt>
                <c:pt idx="5">
                  <c:v>450721.6</c:v>
                </c:pt>
                <c:pt idx="6">
                  <c:v>442300.95</c:v>
                </c:pt>
                <c:pt idx="7">
                  <c:v>438961.05</c:v>
                </c:pt>
                <c:pt idx="8">
                  <c:v>426854.35</c:v>
                </c:pt>
                <c:pt idx="9">
                  <c:v>426285.9</c:v>
                </c:pt>
                <c:pt idx="10">
                  <c:v>425476.8</c:v>
                </c:pt>
              </c:numCache>
            </c:numRef>
          </c:val>
        </c:ser>
        <c:gapWidth val="150"/>
        <c:overlap val="0"/>
        <c:axId val="25959570"/>
        <c:axId val="44842134"/>
      </c:barChart>
      <c:catAx>
        <c:axId val="25959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42134"/>
        <c:crosses val="autoZero"/>
        <c:auto val="1"/>
        <c:lblAlgn val="ctr"/>
        <c:lblOffset val="100"/>
        <c:noMultiLvlLbl val="0"/>
      </c:catAx>
      <c:valAx>
        <c:axId val="44842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59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Monthly_Analysis!B3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Monthly_Analysis!$A$4:$A$15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Monthly_Analysis!$B$4:$B$15</c:f>
              <c:numCache>
                <c:formatCode>#,##0</c:formatCode>
                <c:ptCount val="12"/>
                <c:pt idx="0">
                  <c:v>1140047.6</c:v>
                </c:pt>
                <c:pt idx="1">
                  <c:v>683992.8</c:v>
                </c:pt>
                <c:pt idx="2">
                  <c:v>717313.85</c:v>
                </c:pt>
                <c:pt idx="3">
                  <c:v>894428.6</c:v>
                </c:pt>
                <c:pt idx="4">
                  <c:v>1116329.15</c:v>
                </c:pt>
                <c:pt idx="5">
                  <c:v>482527.9</c:v>
                </c:pt>
                <c:pt idx="6">
                  <c:v>707292.25</c:v>
                </c:pt>
                <c:pt idx="7">
                  <c:v>1001777.45</c:v>
                </c:pt>
                <c:pt idx="8">
                  <c:v>899552.5</c:v>
                </c:pt>
                <c:pt idx="9">
                  <c:v>1474655</c:v>
                </c:pt>
                <c:pt idx="10">
                  <c:v>1477039.1</c:v>
                </c:pt>
                <c:pt idx="11">
                  <c:v>849806.85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Monthly_Analysis!C3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Monthly_Analysis!$A$4:$A$15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Monthly_Analysis!$C$4:$C$15</c:f>
              <c:numCache>
                <c:formatCode>#,##0</c:formatCode>
                <c:ptCount val="12"/>
                <c:pt idx="0">
                  <c:v>452473.8</c:v>
                </c:pt>
                <c:pt idx="1">
                  <c:v>303170.61</c:v>
                </c:pt>
                <c:pt idx="2">
                  <c:v>286467.1</c:v>
                </c:pt>
                <c:pt idx="3">
                  <c:v>341269.37</c:v>
                </c:pt>
                <c:pt idx="4">
                  <c:v>427671.22</c:v>
                </c:pt>
                <c:pt idx="5">
                  <c:v>195234.5</c:v>
                </c:pt>
                <c:pt idx="6">
                  <c:v>268481.96</c:v>
                </c:pt>
                <c:pt idx="7">
                  <c:v>373029.84</c:v>
                </c:pt>
                <c:pt idx="8">
                  <c:v>366243.01</c:v>
                </c:pt>
                <c:pt idx="9">
                  <c:v>616824.91</c:v>
                </c:pt>
                <c:pt idx="10">
                  <c:v>595722.02</c:v>
                </c:pt>
                <c:pt idx="11">
                  <c:v>340420.99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574694"/>
        <c:axId val="37132383"/>
      </c:lineChart>
      <c:catAx>
        <c:axId val="935746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32383"/>
        <c:crosses val="autoZero"/>
        <c:auto val="1"/>
        <c:lblAlgn val="ctr"/>
        <c:lblOffset val="100"/>
        <c:noMultiLvlLbl val="0"/>
      </c:catAx>
      <c:valAx>
        <c:axId val="37132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746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Revenue: Online vs 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Channel_Customer_Analysis!B4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Channel_Customer_Analysis!$A$5:$A$6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Channel_Customer_Analysis!$B$5:$B$6</c:f>
              <c:numCache>
                <c:formatCode>#,##0</c:formatCode>
                <c:ptCount val="2"/>
                <c:pt idx="0">
                  <c:v>7268522.5</c:v>
                </c:pt>
                <c:pt idx="1">
                  <c:v>4176240.55</c:v>
                </c:pt>
              </c:numCache>
            </c:numRef>
          </c:val>
        </c:ser>
        <c:gapWidth val="150"/>
        <c:overlap val="0"/>
        <c:axId val="95525732"/>
        <c:axId val="28727868"/>
      </c:barChart>
      <c:catAx>
        <c:axId val="95525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27868"/>
        <c:crosses val="autoZero"/>
        <c:auto val="1"/>
        <c:lblAlgn val="ctr"/>
        <c:lblOffset val="100"/>
        <c:noMultiLvlLbl val="0"/>
      </c:catAx>
      <c:valAx>
        <c:axId val="28727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25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16</xdr:col>
      <xdr:colOff>364680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667332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15</xdr:col>
      <xdr:colOff>255960</xdr:colOff>
      <xdr:row>18</xdr:row>
      <xdr:rowOff>161640</xdr:rowOff>
    </xdr:to>
    <xdr:graphicFrame>
      <xdr:nvGraphicFramePr>
        <xdr:cNvPr id="1" name="Chart 1"/>
        <xdr:cNvGraphicFramePr/>
      </xdr:nvGraphicFramePr>
      <xdr:xfrm>
        <a:off x="610920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16</xdr:col>
      <xdr:colOff>364320</xdr:colOff>
      <xdr:row>20</xdr:row>
      <xdr:rowOff>140760</xdr:rowOff>
    </xdr:to>
    <xdr:graphicFrame>
      <xdr:nvGraphicFramePr>
        <xdr:cNvPr id="2" name="Chart 1"/>
        <xdr:cNvGraphicFramePr/>
      </xdr:nvGraphicFramePr>
      <xdr:xfrm>
        <a:off x="709596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19</xdr:col>
      <xdr:colOff>581400</xdr:colOff>
      <xdr:row>22</xdr:row>
      <xdr:rowOff>119520</xdr:rowOff>
    </xdr:to>
    <xdr:graphicFrame>
      <xdr:nvGraphicFramePr>
        <xdr:cNvPr id="3" name="Chart 1"/>
        <xdr:cNvGraphicFramePr/>
      </xdr:nvGraphicFramePr>
      <xdr:xfrm>
        <a:off x="7237080" y="3808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12</xdr:col>
      <xdr:colOff>39240</xdr:colOff>
      <xdr:row>16</xdr:row>
      <xdr:rowOff>182520</xdr:rowOff>
    </xdr:to>
    <xdr:graphicFrame>
      <xdr:nvGraphicFramePr>
        <xdr:cNvPr id="4" name="Chart 1"/>
        <xdr:cNvGraphicFramePr/>
      </xdr:nvGraphicFramePr>
      <xdr:xfrm>
        <a:off x="498168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Clean" displayName="OrdersClean" ref="A1:R832" headerRowCount="1" totalsRowCount="0" totalsRowShown="0">
  <autoFilter ref="A1:R832"/>
  <tableColumns count="18">
    <tableColumn id="1" name="Order_ID"/>
    <tableColumn id="2" name="Order_Date"/>
    <tableColumn id="3" name="Customer_ID"/>
    <tableColumn id="4" name="Product_ID"/>
    <tableColumn id="5" name="Product_Name"/>
    <tableColumn id="6" name="Category"/>
    <tableColumn id="7" name="Region"/>
    <tableColumn id="8" name="State"/>
    <tableColumn id="9" name="Sales_Channel"/>
    <tableColumn id="10" name="Quantity"/>
    <tableColumn id="11" name="Unit_Price"/>
    <tableColumn id="12" name="Discount"/>
    <tableColumn id="13" name="Cost"/>
    <tableColumn id="14" name="Revenue"/>
    <tableColumn id="15" name="Profit"/>
    <tableColumn id="16" name="Profit_Margin"/>
    <tableColumn id="17" name="Month"/>
    <tableColumn id="18" name="Year_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v>12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4" t="n">
        <v>8</v>
      </c>
      <c r="C6" s="4" t="s">
        <v>7</v>
      </c>
      <c r="D6" s="4" t="s">
        <v>10</v>
      </c>
    </row>
    <row r="7" customFormat="false" ht="15" hidden="false" customHeight="false" outlineLevel="0" collapsed="false">
      <c r="A7" s="4" t="s">
        <v>11</v>
      </c>
      <c r="B7" s="4" t="n">
        <v>5</v>
      </c>
      <c r="C7" s="4" t="s">
        <v>7</v>
      </c>
      <c r="D7" s="4" t="s">
        <v>12</v>
      </c>
    </row>
    <row r="8" customFormat="false" ht="15" hidden="false" customHeight="false" outlineLevel="0" collapsed="false">
      <c r="A8" s="4" t="s">
        <v>13</v>
      </c>
      <c r="B8" s="4" t="n">
        <v>6</v>
      </c>
      <c r="C8" s="4" t="s">
        <v>7</v>
      </c>
      <c r="D8" s="4" t="s">
        <v>14</v>
      </c>
    </row>
    <row r="9" customFormat="false" ht="15" hidden="false" customHeight="false" outlineLevel="0" collapsed="false">
      <c r="A9" s="4" t="s">
        <v>15</v>
      </c>
      <c r="B9" s="4" t="n">
        <v>6</v>
      </c>
      <c r="C9" s="4" t="s">
        <v>16</v>
      </c>
      <c r="D9" s="4" t="s">
        <v>17</v>
      </c>
    </row>
    <row r="10" customFormat="false" ht="15" hidden="false" customHeight="false" outlineLevel="0" collapsed="false">
      <c r="A10" s="4" t="s">
        <v>18</v>
      </c>
      <c r="B10" s="4" t="n">
        <v>4</v>
      </c>
      <c r="C10" s="4" t="s">
        <v>19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n">
        <v>5</v>
      </c>
      <c r="C11" s="4" t="s">
        <v>16</v>
      </c>
      <c r="D11" s="4" t="s">
        <v>22</v>
      </c>
    </row>
    <row r="13" customFormat="false" ht="15" hidden="false" customHeight="false" outlineLevel="0" collapsed="false">
      <c r="A13" s="5" t="s">
        <v>23</v>
      </c>
    </row>
    <row r="14" customFormat="false" ht="45" hidden="false" customHeight="true" outlineLevel="0" collapsed="false">
      <c r="A14" s="6" t="s">
        <v>24</v>
      </c>
      <c r="B14" s="6"/>
      <c r="C14" s="6"/>
      <c r="D14" s="6"/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7" min="17" style="0" width="7"/>
    <col collapsed="false" customWidth="true" hidden="false" outlineLevel="0" max="18" min="18" style="0" width="10"/>
  </cols>
  <sheetData>
    <row r="1" customFormat="false" ht="15" hidden="false" customHeight="false" outlineLevel="0" collapsed="false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</row>
    <row r="2" customFormat="false" ht="15" hidden="false" customHeight="false" outlineLevel="0" collapsed="false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n">
        <v>6</v>
      </c>
      <c r="K2" s="8" t="n">
        <v>4349</v>
      </c>
      <c r="L2" s="9" t="n">
        <v>0.25</v>
      </c>
      <c r="M2" s="8" t="n">
        <v>14932.62</v>
      </c>
      <c r="N2" s="8" t="n">
        <f aca="false">J2*K2*(1-L2)</f>
        <v>19570.5</v>
      </c>
      <c r="O2" s="8" t="n">
        <f aca="false">N2-M2</f>
        <v>4637.88</v>
      </c>
      <c r="P2" s="10" t="n">
        <f aca="false">IFERROR(O2/N2,0)</f>
        <v>0.236983214532076</v>
      </c>
      <c r="Q2" s="7" t="str">
        <f aca="false">TEXT(B2,"mmm")</f>
        <v>Jul</v>
      </c>
      <c r="R2" s="7" t="str">
        <f aca="false">TEXT(B2,"yyyy-mm")</f>
        <v>2024-07</v>
      </c>
    </row>
    <row r="3" customFormat="false" ht="15" hidden="false" customHeight="false" outlineLevel="0" collapsed="false">
      <c r="A3" s="7" t="s">
        <v>52</v>
      </c>
      <c r="B3" s="7" t="s">
        <v>53</v>
      </c>
      <c r="C3" s="7" t="s">
        <v>54</v>
      </c>
      <c r="D3" s="7" t="s">
        <v>55</v>
      </c>
      <c r="E3" s="7" t="s">
        <v>56</v>
      </c>
      <c r="F3" s="7" t="s">
        <v>57</v>
      </c>
      <c r="G3" s="7" t="s">
        <v>49</v>
      </c>
      <c r="H3" s="7" t="s">
        <v>58</v>
      </c>
      <c r="I3" s="7" t="s">
        <v>51</v>
      </c>
      <c r="J3" s="7" t="n">
        <v>4</v>
      </c>
      <c r="K3" s="8" t="n">
        <v>2850</v>
      </c>
      <c r="L3" s="9" t="n">
        <v>0.1</v>
      </c>
      <c r="M3" s="8" t="n">
        <v>8512.6</v>
      </c>
      <c r="N3" s="8" t="n">
        <f aca="false">J3*K3*(1-L3)</f>
        <v>10260</v>
      </c>
      <c r="O3" s="8" t="n">
        <f aca="false">N3-M3</f>
        <v>1747.4</v>
      </c>
      <c r="P3" s="10" t="n">
        <f aca="false">IFERROR(O3/N3,0)</f>
        <v>0.170311890838207</v>
      </c>
      <c r="Q3" s="7" t="str">
        <f aca="false">TEXT(B3,"mmm")</f>
        <v>Dec</v>
      </c>
      <c r="R3" s="7" t="str">
        <f aca="false">TEXT(B3,"yyyy-mm")</f>
        <v>2024-12</v>
      </c>
    </row>
    <row r="4" customFormat="false" ht="15" hidden="false" customHeight="false" outlineLevel="0" collapsed="false">
      <c r="A4" s="7" t="s">
        <v>59</v>
      </c>
      <c r="B4" s="7" t="s">
        <v>60</v>
      </c>
      <c r="C4" s="7" t="s">
        <v>61</v>
      </c>
      <c r="D4" s="7" t="s">
        <v>62</v>
      </c>
      <c r="E4" s="7" t="s">
        <v>63</v>
      </c>
      <c r="F4" s="7" t="s">
        <v>64</v>
      </c>
      <c r="G4" s="7" t="s">
        <v>65</v>
      </c>
      <c r="H4" s="7" t="s">
        <v>66</v>
      </c>
      <c r="I4" s="7" t="s">
        <v>51</v>
      </c>
      <c r="J4" s="7" t="n">
        <v>3</v>
      </c>
      <c r="K4" s="8" t="n">
        <v>7079</v>
      </c>
      <c r="L4" s="9" t="n">
        <v>0.1</v>
      </c>
      <c r="M4" s="8" t="n">
        <v>8219.34</v>
      </c>
      <c r="N4" s="8" t="n">
        <f aca="false">J4*K4*(1-L4)</f>
        <v>19113.3</v>
      </c>
      <c r="O4" s="8" t="n">
        <f aca="false">N4-M4</f>
        <v>10893.96</v>
      </c>
      <c r="P4" s="10" t="n">
        <f aca="false">IFERROR(O4/N4,0)</f>
        <v>0.569967509535245</v>
      </c>
      <c r="Q4" s="7" t="str">
        <f aca="false">TEXT(B4,"mmm")</f>
        <v>Jun</v>
      </c>
      <c r="R4" s="7" t="str">
        <f aca="false">TEXT(B4,"yyyy-mm")</f>
        <v>2024-06</v>
      </c>
    </row>
    <row r="5" customFormat="false" ht="15" hidden="false" customHeight="false" outlineLevel="0" collapsed="false">
      <c r="A5" s="7" t="s">
        <v>67</v>
      </c>
      <c r="B5" s="7" t="s">
        <v>68</v>
      </c>
      <c r="C5" s="7" t="s">
        <v>69</v>
      </c>
      <c r="D5" s="7" t="s">
        <v>70</v>
      </c>
      <c r="E5" s="7" t="s">
        <v>71</v>
      </c>
      <c r="F5" s="7" t="s">
        <v>72</v>
      </c>
      <c r="G5" s="7" t="s">
        <v>73</v>
      </c>
      <c r="H5" s="7" t="s">
        <v>74</v>
      </c>
      <c r="I5" s="7" t="s">
        <v>75</v>
      </c>
      <c r="J5" s="7" t="n">
        <v>3</v>
      </c>
      <c r="K5" s="8" t="n">
        <v>3059</v>
      </c>
      <c r="L5" s="9" t="n">
        <v>0</v>
      </c>
      <c r="M5" s="8" t="n">
        <v>4819.38</v>
      </c>
      <c r="N5" s="8" t="n">
        <f aca="false">J5*K5*(1-L5)</f>
        <v>9177</v>
      </c>
      <c r="O5" s="8" t="n">
        <f aca="false">N5-M5</f>
        <v>4357.62</v>
      </c>
      <c r="P5" s="10" t="n">
        <f aca="false">IFERROR(O5/N5,0)</f>
        <v>0.474841451454724</v>
      </c>
      <c r="Q5" s="7" t="str">
        <f aca="false">TEXT(B5,"mmm")</f>
        <v>Dec</v>
      </c>
      <c r="R5" s="7" t="str">
        <f aca="false">TEXT(B5,"yyyy-mm")</f>
        <v>2024-12</v>
      </c>
    </row>
    <row r="6" customFormat="false" ht="15" hidden="false" customHeight="false" outlineLevel="0" collapsed="false">
      <c r="A6" s="7" t="s">
        <v>76</v>
      </c>
      <c r="B6" s="7" t="s">
        <v>77</v>
      </c>
      <c r="C6" s="7" t="s">
        <v>78</v>
      </c>
      <c r="D6" s="7" t="s">
        <v>79</v>
      </c>
      <c r="E6" s="7" t="s">
        <v>80</v>
      </c>
      <c r="F6" s="7" t="s">
        <v>72</v>
      </c>
      <c r="G6" s="7" t="s">
        <v>81</v>
      </c>
      <c r="H6" s="7" t="s">
        <v>82</v>
      </c>
      <c r="I6" s="7" t="s">
        <v>51</v>
      </c>
      <c r="J6" s="7" t="n">
        <v>5</v>
      </c>
      <c r="K6" s="8" t="n">
        <v>4769</v>
      </c>
      <c r="L6" s="9" t="n">
        <v>0.15</v>
      </c>
      <c r="M6" s="8" t="n">
        <v>13624.05</v>
      </c>
      <c r="N6" s="8" t="n">
        <f aca="false">J6*K6*(1-L6)</f>
        <v>20268.25</v>
      </c>
      <c r="O6" s="8" t="n">
        <f aca="false">N6-M6</f>
        <v>6644.2</v>
      </c>
      <c r="P6" s="10" t="n">
        <f aca="false">IFERROR(O6/N6,0)</f>
        <v>0.327813205382803</v>
      </c>
      <c r="Q6" s="7" t="str">
        <f aca="false">TEXT(B6,"mmm")</f>
        <v>Nov</v>
      </c>
      <c r="R6" s="7" t="str">
        <f aca="false">TEXT(B6,"yyyy-mm")</f>
        <v>2024-11</v>
      </c>
    </row>
    <row r="7" customFormat="false" ht="15" hidden="false" customHeight="false" outlineLevel="0" collapsed="false">
      <c r="A7" s="7" t="s">
        <v>83</v>
      </c>
      <c r="B7" s="7" t="s">
        <v>84</v>
      </c>
      <c r="C7" s="7" t="s">
        <v>85</v>
      </c>
      <c r="D7" s="7" t="s">
        <v>86</v>
      </c>
      <c r="E7" s="7" t="s">
        <v>87</v>
      </c>
      <c r="F7" s="7" t="s">
        <v>88</v>
      </c>
      <c r="G7" s="7" t="s">
        <v>65</v>
      </c>
      <c r="H7" s="7" t="s">
        <v>66</v>
      </c>
      <c r="I7" s="7" t="s">
        <v>75</v>
      </c>
      <c r="J7" s="7" t="n">
        <v>3</v>
      </c>
      <c r="K7" s="8" t="n">
        <v>3719</v>
      </c>
      <c r="L7" s="9" t="n">
        <v>0</v>
      </c>
      <c r="M7" s="8" t="n">
        <v>4426.11</v>
      </c>
      <c r="N7" s="8" t="n">
        <f aca="false">J7*K7*(1-L7)</f>
        <v>11157</v>
      </c>
      <c r="O7" s="8" t="n">
        <f aca="false">N7-M7</f>
        <v>6730.89</v>
      </c>
      <c r="P7" s="10" t="n">
        <f aca="false">IFERROR(O7/N7,0)</f>
        <v>0.60328851841893</v>
      </c>
      <c r="Q7" s="7" t="str">
        <f aca="false">TEXT(B7,"mmm")</f>
        <v>Apr</v>
      </c>
      <c r="R7" s="7" t="str">
        <f aca="false">TEXT(B7,"yyyy-mm")</f>
        <v>2024-04</v>
      </c>
    </row>
    <row r="8" customFormat="false" ht="15" hidden="false" customHeight="false" outlineLevel="0" collapsed="false">
      <c r="A8" s="7" t="s">
        <v>89</v>
      </c>
      <c r="B8" s="7" t="s">
        <v>90</v>
      </c>
      <c r="C8" s="7" t="s">
        <v>91</v>
      </c>
      <c r="D8" s="7" t="s">
        <v>70</v>
      </c>
      <c r="E8" s="7" t="s">
        <v>71</v>
      </c>
      <c r="F8" s="7" t="s">
        <v>72</v>
      </c>
      <c r="G8" s="7" t="s">
        <v>49</v>
      </c>
      <c r="H8" s="7" t="s">
        <v>50</v>
      </c>
      <c r="I8" s="7" t="s">
        <v>51</v>
      </c>
      <c r="J8" s="7" t="n">
        <v>4</v>
      </c>
      <c r="K8" s="8" t="n">
        <v>3059</v>
      </c>
      <c r="L8" s="9" t="n">
        <v>0</v>
      </c>
      <c r="M8" s="8" t="n">
        <v>6425.84</v>
      </c>
      <c r="N8" s="8" t="n">
        <f aca="false">J8*K8*(1-L8)</f>
        <v>12236</v>
      </c>
      <c r="O8" s="8" t="n">
        <f aca="false">N8-M8</f>
        <v>5810.16</v>
      </c>
      <c r="P8" s="10" t="n">
        <f aca="false">IFERROR(O8/N8,0)</f>
        <v>0.474841451454724</v>
      </c>
      <c r="Q8" s="7" t="str">
        <f aca="false">TEXT(B8,"mmm")</f>
        <v>Dec</v>
      </c>
      <c r="R8" s="7" t="str">
        <f aca="false">TEXT(B8,"yyyy-mm")</f>
        <v>2024-12</v>
      </c>
    </row>
    <row r="9" customFormat="false" ht="15" hidden="false" customHeight="false" outlineLevel="0" collapsed="false">
      <c r="A9" s="7" t="s">
        <v>92</v>
      </c>
      <c r="B9" s="7" t="s">
        <v>93</v>
      </c>
      <c r="C9" s="7" t="s">
        <v>94</v>
      </c>
      <c r="D9" s="7" t="s">
        <v>95</v>
      </c>
      <c r="E9" s="7" t="s">
        <v>96</v>
      </c>
      <c r="F9" s="7" t="s">
        <v>48</v>
      </c>
      <c r="G9" s="7" t="s">
        <v>65</v>
      </c>
      <c r="H9" s="7" t="s">
        <v>66</v>
      </c>
      <c r="I9" s="7" t="s">
        <v>51</v>
      </c>
      <c r="J9" s="7" t="n">
        <v>6</v>
      </c>
      <c r="K9" s="8" t="n">
        <v>5529</v>
      </c>
      <c r="L9" s="9" t="n">
        <v>0.05</v>
      </c>
      <c r="M9" s="8" t="n">
        <v>18697.56</v>
      </c>
      <c r="N9" s="8" t="n">
        <f aca="false">J9*K9*(1-L9)</f>
        <v>31515.3</v>
      </c>
      <c r="O9" s="8" t="n">
        <f aca="false">N9-M9</f>
        <v>12817.74</v>
      </c>
      <c r="P9" s="10" t="n">
        <f aca="false">IFERROR(O9/N9,0)</f>
        <v>0.406714833747418</v>
      </c>
      <c r="Q9" s="7" t="str">
        <f aca="false">TEXT(B9,"mmm")</f>
        <v>Nov</v>
      </c>
      <c r="R9" s="7" t="str">
        <f aca="false">TEXT(B9,"yyyy-mm")</f>
        <v>2024-11</v>
      </c>
    </row>
    <row r="10" customFormat="false" ht="15" hidden="false" customHeight="false" outlineLevel="0" collapsed="false">
      <c r="A10" s="7" t="s">
        <v>97</v>
      </c>
      <c r="B10" s="7" t="s">
        <v>98</v>
      </c>
      <c r="C10" s="7" t="s">
        <v>99</v>
      </c>
      <c r="D10" s="7" t="s">
        <v>79</v>
      </c>
      <c r="E10" s="7" t="s">
        <v>80</v>
      </c>
      <c r="F10" s="7" t="s">
        <v>72</v>
      </c>
      <c r="G10" s="7" t="s">
        <v>49</v>
      </c>
      <c r="H10" s="7" t="s">
        <v>100</v>
      </c>
      <c r="I10" s="7" t="s">
        <v>51</v>
      </c>
      <c r="J10" s="7" t="n">
        <v>4</v>
      </c>
      <c r="K10" s="8" t="n">
        <v>4769</v>
      </c>
      <c r="L10" s="9" t="n">
        <v>0.2</v>
      </c>
      <c r="M10" s="8" t="n">
        <v>10899.24</v>
      </c>
      <c r="N10" s="8" t="n">
        <f aca="false">J10*K10*(1-L10)</f>
        <v>15260.8</v>
      </c>
      <c r="O10" s="8" t="n">
        <f aca="false">N10-M10</f>
        <v>4361.56</v>
      </c>
      <c r="P10" s="10" t="n">
        <f aca="false">IFERROR(O10/N10,0)</f>
        <v>0.285801530719228</v>
      </c>
      <c r="Q10" s="7" t="str">
        <f aca="false">TEXT(B10,"mmm")</f>
        <v>Jun</v>
      </c>
      <c r="R10" s="7" t="str">
        <f aca="false">TEXT(B10,"yyyy-mm")</f>
        <v>2024-06</v>
      </c>
    </row>
    <row r="11" customFormat="false" ht="15" hidden="false" customHeight="false" outlineLevel="0" collapsed="false">
      <c r="A11" s="7" t="s">
        <v>101</v>
      </c>
      <c r="B11" s="7" t="s">
        <v>102</v>
      </c>
      <c r="C11" s="7" t="s">
        <v>103</v>
      </c>
      <c r="D11" s="7" t="s">
        <v>104</v>
      </c>
      <c r="E11" s="7" t="s">
        <v>105</v>
      </c>
      <c r="F11" s="7" t="s">
        <v>48</v>
      </c>
      <c r="G11" s="7" t="s">
        <v>65</v>
      </c>
      <c r="H11" s="7" t="s">
        <v>106</v>
      </c>
      <c r="I11" s="7" t="s">
        <v>51</v>
      </c>
      <c r="J11" s="7" t="n">
        <v>2</v>
      </c>
      <c r="K11" s="8" t="n">
        <v>2000</v>
      </c>
      <c r="L11" s="9" t="n">
        <v>0</v>
      </c>
      <c r="M11" s="8" t="n">
        <v>1742.6</v>
      </c>
      <c r="N11" s="8" t="n">
        <f aca="false">J11*K11*(1-L11)</f>
        <v>4000</v>
      </c>
      <c r="O11" s="8" t="n">
        <f aca="false">N11-M11</f>
        <v>2257.4</v>
      </c>
      <c r="P11" s="10" t="n">
        <f aca="false">IFERROR(O11/N11,0)</f>
        <v>0.56435</v>
      </c>
      <c r="Q11" s="7" t="str">
        <f aca="false">TEXT(B11,"mmm")</f>
        <v>Jul</v>
      </c>
      <c r="R11" s="7" t="str">
        <f aca="false">TEXT(B11,"yyyy-mm")</f>
        <v>2024-07</v>
      </c>
    </row>
    <row r="12" customFormat="false" ht="15" hidden="false" customHeight="false" outlineLevel="0" collapsed="false">
      <c r="A12" s="7" t="s">
        <v>107</v>
      </c>
      <c r="B12" s="7" t="s">
        <v>60</v>
      </c>
      <c r="C12" s="7" t="s">
        <v>108</v>
      </c>
      <c r="D12" s="7" t="s">
        <v>62</v>
      </c>
      <c r="E12" s="7" t="s">
        <v>63</v>
      </c>
      <c r="F12" s="7" t="s">
        <v>64</v>
      </c>
      <c r="G12" s="7" t="s">
        <v>81</v>
      </c>
      <c r="H12" s="7" t="s">
        <v>109</v>
      </c>
      <c r="I12" s="7" t="s">
        <v>51</v>
      </c>
      <c r="J12" s="7" t="n">
        <v>2</v>
      </c>
      <c r="K12" s="8" t="n">
        <v>7079</v>
      </c>
      <c r="L12" s="9" t="n">
        <v>0.25</v>
      </c>
      <c r="M12" s="8" t="n">
        <v>5479.56</v>
      </c>
      <c r="N12" s="8" t="n">
        <f aca="false">J12*K12*(1-L12)</f>
        <v>10618.5</v>
      </c>
      <c r="O12" s="8" t="n">
        <f aca="false">N12-M12</f>
        <v>5138.94</v>
      </c>
      <c r="P12" s="10" t="n">
        <f aca="false">IFERROR(O12/N12,0)</f>
        <v>0.483961011442294</v>
      </c>
      <c r="Q12" s="7" t="str">
        <f aca="false">TEXT(B12,"mmm")</f>
        <v>Jun</v>
      </c>
      <c r="R12" s="7" t="str">
        <f aca="false">TEXT(B12,"yyyy-mm")</f>
        <v>2024-06</v>
      </c>
    </row>
    <row r="13" customFormat="false" ht="15" hidden="false" customHeight="false" outlineLevel="0" collapsed="false">
      <c r="A13" s="7" t="s">
        <v>110</v>
      </c>
      <c r="B13" s="7" t="s">
        <v>111</v>
      </c>
      <c r="C13" s="7" t="s">
        <v>112</v>
      </c>
      <c r="D13" s="7" t="s">
        <v>113</v>
      </c>
      <c r="E13" s="7" t="s">
        <v>114</v>
      </c>
      <c r="F13" s="7" t="s">
        <v>57</v>
      </c>
      <c r="G13" s="7" t="s">
        <v>73</v>
      </c>
      <c r="H13" s="7" t="s">
        <v>115</v>
      </c>
      <c r="I13" s="7" t="s">
        <v>75</v>
      </c>
      <c r="J13" s="7" t="n">
        <v>10</v>
      </c>
      <c r="K13" s="8" t="n">
        <v>3069</v>
      </c>
      <c r="L13" s="9" t="n">
        <v>0</v>
      </c>
      <c r="M13" s="8" t="n">
        <v>22920.8</v>
      </c>
      <c r="N13" s="8" t="n">
        <f aca="false">J13*K13*(1-L13)</f>
        <v>30690</v>
      </c>
      <c r="O13" s="8" t="n">
        <f aca="false">N13-M13</f>
        <v>7769.2</v>
      </c>
      <c r="P13" s="10" t="n">
        <f aca="false">IFERROR(O13/N13,0)</f>
        <v>0.253150863473444</v>
      </c>
      <c r="Q13" s="7" t="str">
        <f aca="false">TEXT(B13,"mmm")</f>
        <v>Nov</v>
      </c>
      <c r="R13" s="7" t="str">
        <f aca="false">TEXT(B13,"yyyy-mm")</f>
        <v>2024-11</v>
      </c>
    </row>
    <row r="14" customFormat="false" ht="15" hidden="false" customHeight="false" outlineLevel="0" collapsed="false">
      <c r="A14" s="7" t="s">
        <v>116</v>
      </c>
      <c r="B14" s="7" t="s">
        <v>117</v>
      </c>
      <c r="C14" s="7" t="s">
        <v>118</v>
      </c>
      <c r="D14" s="7" t="s">
        <v>119</v>
      </c>
      <c r="E14" s="7" t="s">
        <v>120</v>
      </c>
      <c r="F14" s="7" t="s">
        <v>88</v>
      </c>
      <c r="G14" s="7" t="s">
        <v>49</v>
      </c>
      <c r="H14" s="7" t="s">
        <v>50</v>
      </c>
      <c r="I14" s="7" t="s">
        <v>51</v>
      </c>
      <c r="J14" s="7" t="n">
        <v>2</v>
      </c>
      <c r="K14" s="8" t="n">
        <v>620</v>
      </c>
      <c r="L14" s="9" t="n">
        <v>0.1</v>
      </c>
      <c r="M14" s="8" t="n">
        <v>909.1</v>
      </c>
      <c r="N14" s="8" t="n">
        <f aca="false">J14*K14*(1-L14)</f>
        <v>1116</v>
      </c>
      <c r="O14" s="8" t="n">
        <f aca="false">N14-M14</f>
        <v>206.9</v>
      </c>
      <c r="P14" s="10" t="n">
        <f aca="false">IFERROR(O14/N14,0)</f>
        <v>0.185394265232975</v>
      </c>
      <c r="Q14" s="7" t="str">
        <f aca="false">TEXT(B14,"mmm")</f>
        <v>Jun</v>
      </c>
      <c r="R14" s="7" t="str">
        <f aca="false">TEXT(B14,"yyyy-mm")</f>
        <v>2024-06</v>
      </c>
    </row>
    <row r="15" customFormat="false" ht="15" hidden="false" customHeight="false" outlineLevel="0" collapsed="false">
      <c r="A15" s="7" t="s">
        <v>121</v>
      </c>
      <c r="B15" s="7" t="s">
        <v>122</v>
      </c>
      <c r="C15" s="7" t="s">
        <v>123</v>
      </c>
      <c r="D15" s="7" t="s">
        <v>124</v>
      </c>
      <c r="E15" s="7" t="s">
        <v>125</v>
      </c>
      <c r="F15" s="7" t="s">
        <v>64</v>
      </c>
      <c r="G15" s="7" t="s">
        <v>65</v>
      </c>
      <c r="H15" s="7" t="s">
        <v>126</v>
      </c>
      <c r="I15" s="7" t="s">
        <v>51</v>
      </c>
      <c r="J15" s="7" t="n">
        <v>5</v>
      </c>
      <c r="K15" s="8" t="n">
        <v>1349</v>
      </c>
      <c r="L15" s="9" t="n">
        <v>0.2</v>
      </c>
      <c r="M15" s="8" t="n">
        <v>3487</v>
      </c>
      <c r="N15" s="8" t="n">
        <f aca="false">J15*K15*(1-L15)</f>
        <v>5396</v>
      </c>
      <c r="O15" s="8" t="n">
        <f aca="false">N15-M15</f>
        <v>1909</v>
      </c>
      <c r="P15" s="10" t="n">
        <f aca="false">IFERROR(O15/N15,0)</f>
        <v>0.353780578206079</v>
      </c>
      <c r="Q15" s="7" t="str">
        <f aca="false">TEXT(B15,"mmm")</f>
        <v>Mar</v>
      </c>
      <c r="R15" s="7" t="str">
        <f aca="false">TEXT(B15,"yyyy-mm")</f>
        <v>2024-03</v>
      </c>
    </row>
    <row r="16" customFormat="false" ht="15" hidden="false" customHeight="false" outlineLevel="0" collapsed="false">
      <c r="A16" s="7" t="s">
        <v>127</v>
      </c>
      <c r="B16" s="7" t="s">
        <v>128</v>
      </c>
      <c r="C16" s="7" t="s">
        <v>129</v>
      </c>
      <c r="D16" s="7" t="s">
        <v>130</v>
      </c>
      <c r="E16" s="7" t="s">
        <v>131</v>
      </c>
      <c r="F16" s="7" t="s">
        <v>72</v>
      </c>
      <c r="G16" s="7" t="s">
        <v>49</v>
      </c>
      <c r="H16" s="7" t="s">
        <v>58</v>
      </c>
      <c r="I16" s="7" t="s">
        <v>51</v>
      </c>
      <c r="J16" s="7" t="n">
        <v>3</v>
      </c>
      <c r="K16" s="8" t="n">
        <v>7899</v>
      </c>
      <c r="L16" s="9" t="n">
        <v>0.2</v>
      </c>
      <c r="M16" s="8" t="n">
        <v>10217.49</v>
      </c>
      <c r="N16" s="8" t="n">
        <f aca="false">J16*K16*(1-L16)</f>
        <v>18957.6</v>
      </c>
      <c r="O16" s="8" t="n">
        <f aca="false">N16-M16</f>
        <v>8740.11</v>
      </c>
      <c r="P16" s="10" t="n">
        <f aca="false">IFERROR(O16/N16,0)</f>
        <v>0.46103462463603</v>
      </c>
      <c r="Q16" s="7" t="str">
        <f aca="false">TEXT(B16,"mmm")</f>
        <v>Aug</v>
      </c>
      <c r="R16" s="7" t="str">
        <f aca="false">TEXT(B16,"yyyy-mm")</f>
        <v>2024-08</v>
      </c>
    </row>
    <row r="17" customFormat="false" ht="15" hidden="false" customHeight="false" outlineLevel="0" collapsed="false">
      <c r="A17" s="7" t="s">
        <v>132</v>
      </c>
      <c r="B17" s="7" t="s">
        <v>133</v>
      </c>
      <c r="C17" s="7" t="s">
        <v>134</v>
      </c>
      <c r="D17" s="7" t="s">
        <v>135</v>
      </c>
      <c r="E17" s="7" t="s">
        <v>136</v>
      </c>
      <c r="F17" s="7" t="s">
        <v>72</v>
      </c>
      <c r="G17" s="7" t="s">
        <v>65</v>
      </c>
      <c r="H17" s="7" t="s">
        <v>66</v>
      </c>
      <c r="I17" s="7" t="s">
        <v>75</v>
      </c>
      <c r="J17" s="7" t="n">
        <v>2</v>
      </c>
      <c r="K17" s="8" t="n">
        <v>7029</v>
      </c>
      <c r="L17" s="9" t="n">
        <v>0</v>
      </c>
      <c r="M17" s="8" t="n">
        <v>6974.02</v>
      </c>
      <c r="N17" s="8" t="n">
        <f aca="false">J17*K17*(1-L17)</f>
        <v>14058</v>
      </c>
      <c r="O17" s="8" t="n">
        <f aca="false">N17-M17</f>
        <v>7083.98</v>
      </c>
      <c r="P17" s="10" t="n">
        <f aca="false">IFERROR(O17/N17,0)</f>
        <v>0.503910940389814</v>
      </c>
      <c r="Q17" s="7" t="str">
        <f aca="false">TEXT(B17,"mmm")</f>
        <v>Sep</v>
      </c>
      <c r="R17" s="7" t="str">
        <f aca="false">TEXT(B17,"yyyy-mm")</f>
        <v>2024-09</v>
      </c>
    </row>
    <row r="18" customFormat="false" ht="15" hidden="false" customHeight="false" outlineLevel="0" collapsed="false">
      <c r="A18" s="7" t="s">
        <v>137</v>
      </c>
      <c r="B18" s="7" t="s">
        <v>138</v>
      </c>
      <c r="C18" s="7" t="s">
        <v>139</v>
      </c>
      <c r="D18" s="7" t="s">
        <v>140</v>
      </c>
      <c r="E18" s="7" t="s">
        <v>141</v>
      </c>
      <c r="F18" s="7" t="s">
        <v>57</v>
      </c>
      <c r="G18" s="7" t="s">
        <v>49</v>
      </c>
      <c r="H18" s="7" t="s">
        <v>50</v>
      </c>
      <c r="I18" s="7" t="s">
        <v>51</v>
      </c>
      <c r="J18" s="7" t="n">
        <v>3</v>
      </c>
      <c r="K18" s="8" t="n">
        <v>1440</v>
      </c>
      <c r="L18" s="9" t="n">
        <v>0.15</v>
      </c>
      <c r="M18" s="8" t="n">
        <v>2911.17</v>
      </c>
      <c r="N18" s="8" t="n">
        <f aca="false">J18*K18*(1-L18)</f>
        <v>3672</v>
      </c>
      <c r="O18" s="8" t="n">
        <f aca="false">N18-M18</f>
        <v>760.83</v>
      </c>
      <c r="P18" s="10" t="n">
        <f aca="false">IFERROR(O18/N18,0)</f>
        <v>0.207197712418301</v>
      </c>
      <c r="Q18" s="7" t="str">
        <f aca="false">TEXT(B18,"mmm")</f>
        <v>Jan</v>
      </c>
      <c r="R18" s="7" t="str">
        <f aca="false">TEXT(B18,"yyyy-mm")</f>
        <v>2024-01</v>
      </c>
    </row>
    <row r="19" customFormat="false" ht="15" hidden="false" customHeight="false" outlineLevel="0" collapsed="false">
      <c r="A19" s="7" t="s">
        <v>142</v>
      </c>
      <c r="B19" s="7" t="s">
        <v>143</v>
      </c>
      <c r="C19" s="7" t="s">
        <v>94</v>
      </c>
      <c r="D19" s="7" t="s">
        <v>144</v>
      </c>
      <c r="E19" s="7" t="s">
        <v>145</v>
      </c>
      <c r="F19" s="7" t="s">
        <v>48</v>
      </c>
      <c r="G19" s="7" t="s">
        <v>49</v>
      </c>
      <c r="H19" s="7" t="s">
        <v>50</v>
      </c>
      <c r="I19" s="7" t="s">
        <v>51</v>
      </c>
      <c r="J19" s="7" t="n">
        <v>4</v>
      </c>
      <c r="K19" s="8" t="n">
        <v>5149</v>
      </c>
      <c r="L19" s="9" t="n">
        <v>0</v>
      </c>
      <c r="M19" s="8" t="n">
        <v>8689.92</v>
      </c>
      <c r="N19" s="8" t="n">
        <f aca="false">J19*K19*(1-L19)</f>
        <v>20596</v>
      </c>
      <c r="O19" s="8" t="n">
        <f aca="false">N19-M19</f>
        <v>11906.08</v>
      </c>
      <c r="P19" s="10" t="n">
        <f aca="false">IFERROR(O19/N19,0)</f>
        <v>0.578077296562439</v>
      </c>
      <c r="Q19" s="7" t="str">
        <f aca="false">TEXT(B19,"mmm")</f>
        <v>Jul</v>
      </c>
      <c r="R19" s="7" t="str">
        <f aca="false">TEXT(B19,"yyyy-mm")</f>
        <v>2024-07</v>
      </c>
    </row>
    <row r="20" customFormat="false" ht="15" hidden="false" customHeight="false" outlineLevel="0" collapsed="false">
      <c r="A20" s="7" t="s">
        <v>146</v>
      </c>
      <c r="B20" s="7" t="s">
        <v>147</v>
      </c>
      <c r="C20" s="7" t="s">
        <v>148</v>
      </c>
      <c r="D20" s="7" t="s">
        <v>149</v>
      </c>
      <c r="E20" s="7" t="s">
        <v>150</v>
      </c>
      <c r="F20" s="7" t="s">
        <v>88</v>
      </c>
      <c r="G20" s="7" t="s">
        <v>65</v>
      </c>
      <c r="H20" s="7" t="s">
        <v>126</v>
      </c>
      <c r="I20" s="7" t="s">
        <v>51</v>
      </c>
      <c r="J20" s="7" t="n">
        <v>3</v>
      </c>
      <c r="K20" s="8" t="n">
        <v>5219</v>
      </c>
      <c r="L20" s="9" t="n">
        <v>0</v>
      </c>
      <c r="M20" s="8" t="n">
        <v>10473.12</v>
      </c>
      <c r="N20" s="8" t="n">
        <f aca="false">J20*K20*(1-L20)</f>
        <v>15657</v>
      </c>
      <c r="O20" s="8" t="n">
        <f aca="false">N20-M20</f>
        <v>5183.88</v>
      </c>
      <c r="P20" s="10" t="n">
        <f aca="false">IFERROR(O20/N20,0)</f>
        <v>0.331090247173788</v>
      </c>
      <c r="Q20" s="7" t="str">
        <f aca="false">TEXT(B20,"mmm")</f>
        <v>Jan</v>
      </c>
      <c r="R20" s="7" t="str">
        <f aca="false">TEXT(B20,"yyyy-mm")</f>
        <v>2024-01</v>
      </c>
    </row>
    <row r="21" customFormat="false" ht="15" hidden="false" customHeight="false" outlineLevel="0" collapsed="false">
      <c r="A21" s="7" t="s">
        <v>151</v>
      </c>
      <c r="B21" s="7" t="s">
        <v>152</v>
      </c>
      <c r="C21" s="7" t="s">
        <v>153</v>
      </c>
      <c r="D21" s="7" t="s">
        <v>154</v>
      </c>
      <c r="E21" s="7" t="s">
        <v>155</v>
      </c>
      <c r="F21" s="7" t="s">
        <v>57</v>
      </c>
      <c r="G21" s="7" t="s">
        <v>65</v>
      </c>
      <c r="H21" s="7" t="s">
        <v>106</v>
      </c>
      <c r="I21" s="7" t="s">
        <v>75</v>
      </c>
      <c r="J21" s="7" t="n">
        <v>3</v>
      </c>
      <c r="K21" s="8" t="n">
        <v>2949</v>
      </c>
      <c r="L21" s="9" t="n">
        <v>0.05</v>
      </c>
      <c r="M21" s="8" t="n">
        <v>4666.17</v>
      </c>
      <c r="N21" s="8" t="n">
        <f aca="false">J21*K21*(1-L21)</f>
        <v>8404.65</v>
      </c>
      <c r="O21" s="8" t="n">
        <f aca="false">N21-M21</f>
        <v>3738.48</v>
      </c>
      <c r="P21" s="10" t="n">
        <f aca="false">IFERROR(O21/N21,0)</f>
        <v>0.44481090824722</v>
      </c>
      <c r="Q21" s="7" t="str">
        <f aca="false">TEXT(B21,"mmm")</f>
        <v>Dec</v>
      </c>
      <c r="R21" s="7" t="str">
        <f aca="false">TEXT(B21,"yyyy-mm")</f>
        <v>2024-12</v>
      </c>
    </row>
    <row r="22" customFormat="false" ht="15" hidden="false" customHeight="false" outlineLevel="0" collapsed="false">
      <c r="A22" s="7" t="s">
        <v>156</v>
      </c>
      <c r="B22" s="7" t="s">
        <v>157</v>
      </c>
      <c r="C22" s="7" t="s">
        <v>158</v>
      </c>
      <c r="D22" s="7" t="s">
        <v>154</v>
      </c>
      <c r="E22" s="7" t="s">
        <v>155</v>
      </c>
      <c r="F22" s="7" t="s">
        <v>57</v>
      </c>
      <c r="G22" s="7" t="s">
        <v>49</v>
      </c>
      <c r="H22" s="7" t="s">
        <v>58</v>
      </c>
      <c r="I22" s="7" t="s">
        <v>51</v>
      </c>
      <c r="J22" s="7" t="n">
        <v>3</v>
      </c>
      <c r="K22" s="8" t="n">
        <v>2949</v>
      </c>
      <c r="L22" s="9" t="n">
        <v>0.05</v>
      </c>
      <c r="M22" s="8" t="n">
        <v>4666.17</v>
      </c>
      <c r="N22" s="8" t="n">
        <f aca="false">J22*K22*(1-L22)</f>
        <v>8404.65</v>
      </c>
      <c r="O22" s="8" t="n">
        <f aca="false">N22-M22</f>
        <v>3738.48</v>
      </c>
      <c r="P22" s="10" t="n">
        <f aca="false">IFERROR(O22/N22,0)</f>
        <v>0.44481090824722</v>
      </c>
      <c r="Q22" s="7" t="str">
        <f aca="false">TEXT(B22,"mmm")</f>
        <v>Feb</v>
      </c>
      <c r="R22" s="7" t="str">
        <f aca="false">TEXT(B22,"yyyy-mm")</f>
        <v>2024-02</v>
      </c>
    </row>
    <row r="23" customFormat="false" ht="15" hidden="false" customHeight="false" outlineLevel="0" collapsed="false">
      <c r="A23" s="7" t="s">
        <v>159</v>
      </c>
      <c r="B23" s="7" t="s">
        <v>160</v>
      </c>
      <c r="C23" s="7" t="s">
        <v>161</v>
      </c>
      <c r="D23" s="7" t="s">
        <v>162</v>
      </c>
      <c r="E23" s="7" t="s">
        <v>163</v>
      </c>
      <c r="F23" s="7" t="s">
        <v>57</v>
      </c>
      <c r="G23" s="7" t="s">
        <v>81</v>
      </c>
      <c r="H23" s="7" t="s">
        <v>82</v>
      </c>
      <c r="I23" s="7" t="s">
        <v>75</v>
      </c>
      <c r="J23" s="7" t="n">
        <v>3</v>
      </c>
      <c r="K23" s="8" t="n">
        <v>4629</v>
      </c>
      <c r="L23" s="9" t="n">
        <v>0.2</v>
      </c>
      <c r="M23" s="8" t="n">
        <v>6090.51</v>
      </c>
      <c r="N23" s="8" t="n">
        <f aca="false">J23*K23*(1-L23)</f>
        <v>11109.6</v>
      </c>
      <c r="O23" s="8" t="n">
        <f aca="false">N23-M23</f>
        <v>5019.09</v>
      </c>
      <c r="P23" s="10" t="n">
        <f aca="false">IFERROR(O23/N23,0)</f>
        <v>0.451779542017714</v>
      </c>
      <c r="Q23" s="7" t="str">
        <f aca="false">TEXT(B23,"mmm")</f>
        <v>Jun</v>
      </c>
      <c r="R23" s="7" t="str">
        <f aca="false">TEXT(B23,"yyyy-mm")</f>
        <v>2024-06</v>
      </c>
    </row>
    <row r="24" customFormat="false" ht="15" hidden="false" customHeight="false" outlineLevel="0" collapsed="false">
      <c r="A24" s="7" t="s">
        <v>164</v>
      </c>
      <c r="B24" s="7" t="s">
        <v>165</v>
      </c>
      <c r="C24" s="7" t="s">
        <v>166</v>
      </c>
      <c r="D24" s="7" t="s">
        <v>119</v>
      </c>
      <c r="E24" s="7" t="s">
        <v>120</v>
      </c>
      <c r="F24" s="7" t="s">
        <v>88</v>
      </c>
      <c r="G24" s="7" t="s">
        <v>81</v>
      </c>
      <c r="H24" s="7" t="s">
        <v>82</v>
      </c>
      <c r="I24" s="7" t="s">
        <v>75</v>
      </c>
      <c r="J24" s="7" t="n">
        <v>4</v>
      </c>
      <c r="K24" s="8" t="n">
        <v>620</v>
      </c>
      <c r="L24" s="9" t="n">
        <v>0.2</v>
      </c>
      <c r="M24" s="8" t="n">
        <v>1818.2</v>
      </c>
      <c r="N24" s="8" t="n">
        <f aca="false">J24*K24*(1-L24)</f>
        <v>1984</v>
      </c>
      <c r="O24" s="8" t="n">
        <f aca="false">N24-M24</f>
        <v>165.8</v>
      </c>
      <c r="P24" s="10" t="n">
        <f aca="false">IFERROR(O24/N24,0)</f>
        <v>0.0835685483870968</v>
      </c>
      <c r="Q24" s="7" t="str">
        <f aca="false">TEXT(B24,"mmm")</f>
        <v>Jun</v>
      </c>
      <c r="R24" s="7" t="str">
        <f aca="false">TEXT(B24,"yyyy-mm")</f>
        <v>2024-06</v>
      </c>
    </row>
    <row r="25" customFormat="false" ht="15" hidden="false" customHeight="false" outlineLevel="0" collapsed="false">
      <c r="A25" s="7" t="s">
        <v>167</v>
      </c>
      <c r="B25" s="7" t="s">
        <v>168</v>
      </c>
      <c r="C25" s="7" t="s">
        <v>169</v>
      </c>
      <c r="D25" s="7" t="s">
        <v>170</v>
      </c>
      <c r="E25" s="7" t="s">
        <v>171</v>
      </c>
      <c r="F25" s="7" t="s">
        <v>88</v>
      </c>
      <c r="G25" s="7" t="s">
        <v>49</v>
      </c>
      <c r="H25" s="7" t="s">
        <v>172</v>
      </c>
      <c r="I25" s="7" t="s">
        <v>75</v>
      </c>
      <c r="J25" s="7" t="n">
        <v>1</v>
      </c>
      <c r="K25" s="8" t="n">
        <v>5749</v>
      </c>
      <c r="L25" s="9" t="n">
        <v>0.1</v>
      </c>
      <c r="M25" s="8" t="n">
        <v>3157.71</v>
      </c>
      <c r="N25" s="8" t="n">
        <f aca="false">J25*K25*(1-L25)</f>
        <v>5174.1</v>
      </c>
      <c r="O25" s="8" t="n">
        <f aca="false">N25-M25</f>
        <v>2016.39</v>
      </c>
      <c r="P25" s="10" t="n">
        <f aca="false">IFERROR(O25/N25,0)</f>
        <v>0.389708355076245</v>
      </c>
      <c r="Q25" s="7" t="str">
        <f aca="false">TEXT(B25,"mmm")</f>
        <v>Jul</v>
      </c>
      <c r="R25" s="7" t="str">
        <f aca="false">TEXT(B25,"yyyy-mm")</f>
        <v>2024-07</v>
      </c>
    </row>
    <row r="26" customFormat="false" ht="15" hidden="false" customHeight="false" outlineLevel="0" collapsed="false">
      <c r="A26" s="7" t="s">
        <v>173</v>
      </c>
      <c r="B26" s="7" t="s">
        <v>174</v>
      </c>
      <c r="C26" s="7" t="s">
        <v>175</v>
      </c>
      <c r="D26" s="7" t="s">
        <v>176</v>
      </c>
      <c r="E26" s="7" t="s">
        <v>177</v>
      </c>
      <c r="F26" s="7" t="s">
        <v>72</v>
      </c>
      <c r="G26" s="7" t="s">
        <v>49</v>
      </c>
      <c r="H26" s="7" t="s">
        <v>50</v>
      </c>
      <c r="I26" s="7" t="s">
        <v>51</v>
      </c>
      <c r="J26" s="7" t="n">
        <v>3</v>
      </c>
      <c r="K26" s="8" t="n">
        <v>3969</v>
      </c>
      <c r="L26" s="9" t="n">
        <v>0.1</v>
      </c>
      <c r="M26" s="8" t="n">
        <v>6443.91</v>
      </c>
      <c r="N26" s="8" t="n">
        <f aca="false">J26*K26*(1-L26)</f>
        <v>10716.3</v>
      </c>
      <c r="O26" s="8" t="n">
        <f aca="false">N26-M26</f>
        <v>4272.39</v>
      </c>
      <c r="P26" s="10" t="n">
        <f aca="false">IFERROR(O26/N26,0)</f>
        <v>0.398681447887797</v>
      </c>
      <c r="Q26" s="7" t="str">
        <f aca="false">TEXT(B26,"mmm")</f>
        <v>Nov</v>
      </c>
      <c r="R26" s="7" t="str">
        <f aca="false">TEXT(B26,"yyyy-mm")</f>
        <v>2024-11</v>
      </c>
    </row>
    <row r="27" customFormat="false" ht="15" hidden="false" customHeight="false" outlineLevel="0" collapsed="false">
      <c r="A27" s="7" t="s">
        <v>178</v>
      </c>
      <c r="B27" s="7" t="s">
        <v>179</v>
      </c>
      <c r="C27" s="7" t="s">
        <v>180</v>
      </c>
      <c r="D27" s="7" t="s">
        <v>181</v>
      </c>
      <c r="E27" s="7" t="s">
        <v>182</v>
      </c>
      <c r="F27" s="7" t="s">
        <v>88</v>
      </c>
      <c r="G27" s="7" t="s">
        <v>81</v>
      </c>
      <c r="H27" s="7" t="s">
        <v>82</v>
      </c>
      <c r="I27" s="7" t="s">
        <v>75</v>
      </c>
      <c r="J27" s="7" t="n">
        <v>4</v>
      </c>
      <c r="K27" s="8" t="n">
        <v>4489</v>
      </c>
      <c r="L27" s="9" t="n">
        <v>0.1</v>
      </c>
      <c r="M27" s="8" t="n">
        <v>7822.28</v>
      </c>
      <c r="N27" s="8" t="n">
        <f aca="false">J27*K27*(1-L27)</f>
        <v>16160.4</v>
      </c>
      <c r="O27" s="8" t="n">
        <f aca="false">N27-M27</f>
        <v>8338.12</v>
      </c>
      <c r="P27" s="10" t="n">
        <f aca="false">IFERROR(O27/N27,0)</f>
        <v>0.515960000990074</v>
      </c>
      <c r="Q27" s="7" t="str">
        <f aca="false">TEXT(B27,"mmm")</f>
        <v>Feb</v>
      </c>
      <c r="R27" s="7" t="str">
        <f aca="false">TEXT(B27,"yyyy-mm")</f>
        <v>2024-02</v>
      </c>
    </row>
    <row r="28" customFormat="false" ht="15" hidden="false" customHeight="false" outlineLevel="0" collapsed="false">
      <c r="A28" s="7" t="s">
        <v>183</v>
      </c>
      <c r="B28" s="7" t="s">
        <v>184</v>
      </c>
      <c r="C28" s="7" t="s">
        <v>185</v>
      </c>
      <c r="D28" s="7" t="s">
        <v>140</v>
      </c>
      <c r="E28" s="7" t="s">
        <v>141</v>
      </c>
      <c r="F28" s="7" t="s">
        <v>57</v>
      </c>
      <c r="G28" s="7" t="s">
        <v>81</v>
      </c>
      <c r="H28" s="7" t="s">
        <v>186</v>
      </c>
      <c r="I28" s="7" t="s">
        <v>75</v>
      </c>
      <c r="J28" s="7" t="n">
        <v>6</v>
      </c>
      <c r="K28" s="8" t="n">
        <v>1440</v>
      </c>
      <c r="L28" s="9" t="n">
        <v>0.2</v>
      </c>
      <c r="M28" s="8" t="n">
        <v>5822.34</v>
      </c>
      <c r="N28" s="8" t="n">
        <f aca="false">J28*K28*(1-L28)</f>
        <v>6912</v>
      </c>
      <c r="O28" s="8" t="n">
        <f aca="false">N28-M28</f>
        <v>1089.66</v>
      </c>
      <c r="P28" s="10" t="n">
        <f aca="false">IFERROR(O28/N28,0)</f>
        <v>0.157647569444444</v>
      </c>
      <c r="Q28" s="7" t="str">
        <f aca="false">TEXT(B28,"mmm")</f>
        <v>Mar</v>
      </c>
      <c r="R28" s="7" t="str">
        <f aca="false">TEXT(B28,"yyyy-mm")</f>
        <v>2024-03</v>
      </c>
    </row>
    <row r="29" customFormat="false" ht="15" hidden="false" customHeight="false" outlineLevel="0" collapsed="false">
      <c r="A29" s="7" t="s">
        <v>187</v>
      </c>
      <c r="B29" s="7" t="s">
        <v>188</v>
      </c>
      <c r="C29" s="7" t="s">
        <v>180</v>
      </c>
      <c r="D29" s="7" t="s">
        <v>62</v>
      </c>
      <c r="E29" s="7" t="s">
        <v>63</v>
      </c>
      <c r="F29" s="7" t="s">
        <v>64</v>
      </c>
      <c r="G29" s="7" t="s">
        <v>65</v>
      </c>
      <c r="H29" s="7" t="s">
        <v>126</v>
      </c>
      <c r="I29" s="7" t="s">
        <v>75</v>
      </c>
      <c r="J29" s="7" t="n">
        <v>4</v>
      </c>
      <c r="K29" s="8" t="n">
        <v>7079</v>
      </c>
      <c r="L29" s="9" t="n">
        <v>0.1</v>
      </c>
      <c r="M29" s="8" t="n">
        <v>10959.12</v>
      </c>
      <c r="N29" s="8" t="n">
        <f aca="false">J29*K29*(1-L29)</f>
        <v>25484.4</v>
      </c>
      <c r="O29" s="8" t="n">
        <f aca="false">N29-M29</f>
        <v>14525.28</v>
      </c>
      <c r="P29" s="10" t="n">
        <f aca="false">IFERROR(O29/N29,0)</f>
        <v>0.569967509535245</v>
      </c>
      <c r="Q29" s="7" t="str">
        <f aca="false">TEXT(B29,"mmm")</f>
        <v>Jul</v>
      </c>
      <c r="R29" s="7" t="str">
        <f aca="false">TEXT(B29,"yyyy-mm")</f>
        <v>2024-07</v>
      </c>
    </row>
    <row r="30" customFormat="false" ht="15" hidden="false" customHeight="false" outlineLevel="0" collapsed="false">
      <c r="A30" s="7" t="s">
        <v>189</v>
      </c>
      <c r="B30" s="7" t="s">
        <v>190</v>
      </c>
      <c r="C30" s="7" t="s">
        <v>191</v>
      </c>
      <c r="D30" s="7" t="s">
        <v>104</v>
      </c>
      <c r="E30" s="7" t="s">
        <v>105</v>
      </c>
      <c r="F30" s="7" t="s">
        <v>48</v>
      </c>
      <c r="G30" s="7" t="s">
        <v>73</v>
      </c>
      <c r="H30" s="7" t="s">
        <v>115</v>
      </c>
      <c r="I30" s="7" t="s">
        <v>75</v>
      </c>
      <c r="J30" s="7" t="n">
        <v>2</v>
      </c>
      <c r="K30" s="8" t="n">
        <v>2000</v>
      </c>
      <c r="L30" s="9" t="n">
        <v>0.25</v>
      </c>
      <c r="M30" s="8" t="n">
        <v>1742.6</v>
      </c>
      <c r="N30" s="8" t="n">
        <f aca="false">J30*K30*(1-L30)</f>
        <v>3000</v>
      </c>
      <c r="O30" s="8" t="n">
        <f aca="false">N30-M30</f>
        <v>1257.4</v>
      </c>
      <c r="P30" s="10" t="n">
        <f aca="false">IFERROR(O30/N30,0)</f>
        <v>0.419133333333333</v>
      </c>
      <c r="Q30" s="7" t="str">
        <f aca="false">TEXT(B30,"mmm")</f>
        <v>Sep</v>
      </c>
      <c r="R30" s="7" t="str">
        <f aca="false">TEXT(B30,"yyyy-mm")</f>
        <v>2024-09</v>
      </c>
    </row>
    <row r="31" customFormat="false" ht="15" hidden="false" customHeight="false" outlineLevel="0" collapsed="false">
      <c r="A31" s="7" t="s">
        <v>192</v>
      </c>
      <c r="B31" s="7" t="s">
        <v>193</v>
      </c>
      <c r="C31" s="7" t="s">
        <v>69</v>
      </c>
      <c r="D31" s="7" t="s">
        <v>154</v>
      </c>
      <c r="E31" s="7" t="s">
        <v>155</v>
      </c>
      <c r="F31" s="7" t="s">
        <v>57</v>
      </c>
      <c r="G31" s="7" t="s">
        <v>81</v>
      </c>
      <c r="H31" s="7" t="s">
        <v>82</v>
      </c>
      <c r="I31" s="7" t="s">
        <v>51</v>
      </c>
      <c r="J31" s="7" t="n">
        <v>5</v>
      </c>
      <c r="K31" s="8" t="n">
        <v>2949</v>
      </c>
      <c r="L31" s="9" t="n">
        <v>0.05</v>
      </c>
      <c r="M31" s="8" t="n">
        <v>7776.95</v>
      </c>
      <c r="N31" s="8" t="n">
        <f aca="false">J31*K31*(1-L31)</f>
        <v>14007.75</v>
      </c>
      <c r="O31" s="8" t="n">
        <f aca="false">N31-M31</f>
        <v>6230.8</v>
      </c>
      <c r="P31" s="10" t="n">
        <f aca="false">IFERROR(O31/N31,0)</f>
        <v>0.44481090824722</v>
      </c>
      <c r="Q31" s="7" t="str">
        <f aca="false">TEXT(B31,"mmm")</f>
        <v>May</v>
      </c>
      <c r="R31" s="7" t="str">
        <f aca="false">TEXT(B31,"yyyy-mm")</f>
        <v>2024-05</v>
      </c>
    </row>
    <row r="32" customFormat="false" ht="15" hidden="false" customHeight="false" outlineLevel="0" collapsed="false">
      <c r="A32" s="7" t="s">
        <v>194</v>
      </c>
      <c r="B32" s="7" t="s">
        <v>195</v>
      </c>
      <c r="C32" s="7" t="s">
        <v>196</v>
      </c>
      <c r="D32" s="7" t="s">
        <v>197</v>
      </c>
      <c r="E32" s="7" t="s">
        <v>198</v>
      </c>
      <c r="F32" s="7" t="s">
        <v>64</v>
      </c>
      <c r="G32" s="7" t="s">
        <v>49</v>
      </c>
      <c r="H32" s="7" t="s">
        <v>100</v>
      </c>
      <c r="I32" s="7" t="s">
        <v>51</v>
      </c>
      <c r="J32" s="7" t="n">
        <v>5</v>
      </c>
      <c r="K32" s="8" t="n">
        <v>2910</v>
      </c>
      <c r="L32" s="9" t="n">
        <v>0.05</v>
      </c>
      <c r="M32" s="8" t="n">
        <v>6700.8</v>
      </c>
      <c r="N32" s="8" t="n">
        <f aca="false">J32*K32*(1-L32)</f>
        <v>13822.5</v>
      </c>
      <c r="O32" s="8" t="n">
        <f aca="false">N32-M32</f>
        <v>7121.7</v>
      </c>
      <c r="P32" s="10" t="n">
        <f aca="false">IFERROR(O32/N32,0)</f>
        <v>0.515225176342919</v>
      </c>
      <c r="Q32" s="7" t="str">
        <f aca="false">TEXT(B32,"mmm")</f>
        <v>Feb</v>
      </c>
      <c r="R32" s="7" t="str">
        <f aca="false">TEXT(B32,"yyyy-mm")</f>
        <v>2024-02</v>
      </c>
    </row>
    <row r="33" customFormat="false" ht="15" hidden="false" customHeight="false" outlineLevel="0" collapsed="false">
      <c r="A33" s="7" t="s">
        <v>199</v>
      </c>
      <c r="B33" s="7" t="s">
        <v>200</v>
      </c>
      <c r="C33" s="7" t="s">
        <v>112</v>
      </c>
      <c r="D33" s="7" t="s">
        <v>201</v>
      </c>
      <c r="E33" s="7" t="s">
        <v>202</v>
      </c>
      <c r="F33" s="7" t="s">
        <v>72</v>
      </c>
      <c r="G33" s="7" t="s">
        <v>49</v>
      </c>
      <c r="H33" s="7" t="s">
        <v>100</v>
      </c>
      <c r="I33" s="7" t="s">
        <v>75</v>
      </c>
      <c r="J33" s="7" t="n">
        <v>1</v>
      </c>
      <c r="K33" s="8" t="n">
        <v>3990</v>
      </c>
      <c r="L33" s="9" t="n">
        <v>0.05</v>
      </c>
      <c r="M33" s="8" t="n">
        <v>3033.61</v>
      </c>
      <c r="N33" s="8" t="n">
        <f aca="false">J33*K33*(1-L33)</f>
        <v>3790.5</v>
      </c>
      <c r="O33" s="8" t="n">
        <f aca="false">N33-M33</f>
        <v>756.89</v>
      </c>
      <c r="P33" s="10" t="n">
        <f aca="false">IFERROR(O33/N33,0)</f>
        <v>0.199680780899617</v>
      </c>
      <c r="Q33" s="7" t="str">
        <f aca="false">TEXT(B33,"mmm")</f>
        <v>May</v>
      </c>
      <c r="R33" s="7" t="str">
        <f aca="false">TEXT(B33,"yyyy-mm")</f>
        <v>2024-05</v>
      </c>
    </row>
    <row r="34" customFormat="false" ht="15" hidden="false" customHeight="false" outlineLevel="0" collapsed="false">
      <c r="A34" s="7" t="s">
        <v>203</v>
      </c>
      <c r="B34" s="7" t="s">
        <v>204</v>
      </c>
      <c r="C34" s="7" t="s">
        <v>205</v>
      </c>
      <c r="D34" s="7" t="s">
        <v>206</v>
      </c>
      <c r="E34" s="7" t="s">
        <v>207</v>
      </c>
      <c r="F34" s="7" t="s">
        <v>88</v>
      </c>
      <c r="G34" s="7" t="s">
        <v>81</v>
      </c>
      <c r="H34" s="7" t="s">
        <v>109</v>
      </c>
      <c r="I34" s="7" t="s">
        <v>51</v>
      </c>
      <c r="J34" s="7" t="n">
        <v>4</v>
      </c>
      <c r="K34" s="8" t="n">
        <v>1029</v>
      </c>
      <c r="L34" s="9" t="n">
        <v>0</v>
      </c>
      <c r="M34" s="8" t="n">
        <v>2514.48</v>
      </c>
      <c r="N34" s="8" t="n">
        <f aca="false">J34*K34*(1-L34)</f>
        <v>4116</v>
      </c>
      <c r="O34" s="8" t="n">
        <f aca="false">N34-M34</f>
        <v>1601.52</v>
      </c>
      <c r="P34" s="10" t="n">
        <f aca="false">IFERROR(O34/N34,0)</f>
        <v>0.389096209912536</v>
      </c>
      <c r="Q34" s="7" t="str">
        <f aca="false">TEXT(B34,"mmm")</f>
        <v>Apr</v>
      </c>
      <c r="R34" s="7" t="str">
        <f aca="false">TEXT(B34,"yyyy-mm")</f>
        <v>2024-04</v>
      </c>
    </row>
    <row r="35" customFormat="false" ht="15" hidden="false" customHeight="false" outlineLevel="0" collapsed="false">
      <c r="A35" s="7" t="s">
        <v>208</v>
      </c>
      <c r="B35" s="7" t="s">
        <v>209</v>
      </c>
      <c r="C35" s="7" t="s">
        <v>210</v>
      </c>
      <c r="D35" s="7" t="s">
        <v>79</v>
      </c>
      <c r="E35" s="7" t="s">
        <v>80</v>
      </c>
      <c r="F35" s="7" t="s">
        <v>72</v>
      </c>
      <c r="G35" s="7" t="s">
        <v>73</v>
      </c>
      <c r="H35" s="7" t="s">
        <v>211</v>
      </c>
      <c r="I35" s="7" t="s">
        <v>51</v>
      </c>
      <c r="J35" s="7" t="n">
        <v>4</v>
      </c>
      <c r="K35" s="8" t="n">
        <v>4769</v>
      </c>
      <c r="L35" s="9" t="n">
        <v>0.05</v>
      </c>
      <c r="M35" s="8" t="n">
        <v>10899.24</v>
      </c>
      <c r="N35" s="8" t="n">
        <f aca="false">J35*K35*(1-L35)</f>
        <v>18122.2</v>
      </c>
      <c r="O35" s="8" t="n">
        <f aca="false">N35-M35</f>
        <v>7222.96</v>
      </c>
      <c r="P35" s="10" t="n">
        <f aca="false">IFERROR(O35/N35,0)</f>
        <v>0.39856971007935</v>
      </c>
      <c r="Q35" s="7" t="str">
        <f aca="false">TEXT(B35,"mmm")</f>
        <v>Dec</v>
      </c>
      <c r="R35" s="7" t="str">
        <f aca="false">TEXT(B35,"yyyy-mm")</f>
        <v>2024-12</v>
      </c>
    </row>
    <row r="36" customFormat="false" ht="15" hidden="false" customHeight="false" outlineLevel="0" collapsed="false">
      <c r="A36" s="7" t="s">
        <v>212</v>
      </c>
      <c r="B36" s="7" t="s">
        <v>213</v>
      </c>
      <c r="C36" s="7" t="s">
        <v>214</v>
      </c>
      <c r="D36" s="7" t="s">
        <v>215</v>
      </c>
      <c r="E36" s="7" t="s">
        <v>216</v>
      </c>
      <c r="F36" s="7" t="s">
        <v>57</v>
      </c>
      <c r="G36" s="7" t="s">
        <v>65</v>
      </c>
      <c r="H36" s="7" t="s">
        <v>217</v>
      </c>
      <c r="I36" s="7" t="s">
        <v>75</v>
      </c>
      <c r="J36" s="7" t="n">
        <v>6</v>
      </c>
      <c r="K36" s="8" t="n">
        <v>3749</v>
      </c>
      <c r="L36" s="9" t="n">
        <v>0.25</v>
      </c>
      <c r="M36" s="8" t="n">
        <v>17169.54</v>
      </c>
      <c r="N36" s="8" t="n">
        <f aca="false">J36*K36*(1-L36)</f>
        <v>16870.5</v>
      </c>
      <c r="O36" s="8" t="n">
        <f aca="false">N36-M36</f>
        <v>-299.040000000001</v>
      </c>
      <c r="P36" s="10" t="n">
        <f aca="false">IFERROR(O36/N36,0)</f>
        <v>-0.0177256157197475</v>
      </c>
      <c r="Q36" s="7" t="str">
        <f aca="false">TEXT(B36,"mmm")</f>
        <v>May</v>
      </c>
      <c r="R36" s="7" t="str">
        <f aca="false">TEXT(B36,"yyyy-mm")</f>
        <v>2024-05</v>
      </c>
    </row>
    <row r="37" customFormat="false" ht="15" hidden="false" customHeight="false" outlineLevel="0" collapsed="false">
      <c r="A37" s="7" t="s">
        <v>218</v>
      </c>
      <c r="B37" s="7" t="s">
        <v>219</v>
      </c>
      <c r="C37" s="7" t="s">
        <v>220</v>
      </c>
      <c r="D37" s="7" t="s">
        <v>79</v>
      </c>
      <c r="E37" s="7" t="s">
        <v>80</v>
      </c>
      <c r="F37" s="7" t="s">
        <v>72</v>
      </c>
      <c r="G37" s="7" t="s">
        <v>81</v>
      </c>
      <c r="H37" s="7" t="s">
        <v>186</v>
      </c>
      <c r="I37" s="7" t="s">
        <v>51</v>
      </c>
      <c r="J37" s="7" t="n">
        <v>1</v>
      </c>
      <c r="K37" s="8" t="n">
        <v>4769</v>
      </c>
      <c r="L37" s="9" t="n">
        <v>0.05</v>
      </c>
      <c r="M37" s="8" t="n">
        <v>2724.81</v>
      </c>
      <c r="N37" s="8" t="n">
        <f aca="false">J37*K37*(1-L37)</f>
        <v>4530.55</v>
      </c>
      <c r="O37" s="8" t="n">
        <f aca="false">N37-M37</f>
        <v>1805.74</v>
      </c>
      <c r="P37" s="10" t="n">
        <f aca="false">IFERROR(O37/N37,0)</f>
        <v>0.39856971007935</v>
      </c>
      <c r="Q37" s="7" t="str">
        <f aca="false">TEXT(B37,"mmm")</f>
        <v>Mar</v>
      </c>
      <c r="R37" s="7" t="str">
        <f aca="false">TEXT(B37,"yyyy-mm")</f>
        <v>2024-03</v>
      </c>
    </row>
    <row r="38" customFormat="false" ht="15" hidden="false" customHeight="false" outlineLevel="0" collapsed="false">
      <c r="A38" s="7" t="s">
        <v>221</v>
      </c>
      <c r="B38" s="7" t="s">
        <v>222</v>
      </c>
      <c r="C38" s="7" t="s">
        <v>223</v>
      </c>
      <c r="D38" s="7" t="s">
        <v>176</v>
      </c>
      <c r="E38" s="7" t="s">
        <v>177</v>
      </c>
      <c r="F38" s="7" t="s">
        <v>72</v>
      </c>
      <c r="G38" s="7" t="s">
        <v>49</v>
      </c>
      <c r="H38" s="7" t="s">
        <v>100</v>
      </c>
      <c r="I38" s="7" t="s">
        <v>51</v>
      </c>
      <c r="J38" s="7" t="n">
        <v>1</v>
      </c>
      <c r="K38" s="8" t="n">
        <v>3969</v>
      </c>
      <c r="L38" s="9" t="n">
        <v>0.15</v>
      </c>
      <c r="M38" s="8" t="n">
        <v>2147.97</v>
      </c>
      <c r="N38" s="8" t="n">
        <f aca="false">J38*K38*(1-L38)</f>
        <v>3373.65</v>
      </c>
      <c r="O38" s="8" t="n">
        <f aca="false">N38-M38</f>
        <v>1225.68</v>
      </c>
      <c r="P38" s="10" t="n">
        <f aca="false">IFERROR(O38/N38,0)</f>
        <v>0.363309768351785</v>
      </c>
      <c r="Q38" s="7" t="str">
        <f aca="false">TEXT(B38,"mmm")</f>
        <v>Jul</v>
      </c>
      <c r="R38" s="7" t="str">
        <f aca="false">TEXT(B38,"yyyy-mm")</f>
        <v>2024-07</v>
      </c>
    </row>
    <row r="39" customFormat="false" ht="15" hidden="false" customHeight="false" outlineLevel="0" collapsed="false">
      <c r="A39" s="7" t="s">
        <v>224</v>
      </c>
      <c r="B39" s="7" t="s">
        <v>225</v>
      </c>
      <c r="C39" s="7" t="s">
        <v>226</v>
      </c>
      <c r="D39" s="7" t="s">
        <v>227</v>
      </c>
      <c r="E39" s="7" t="s">
        <v>228</v>
      </c>
      <c r="F39" s="7" t="s">
        <v>64</v>
      </c>
      <c r="G39" s="7" t="s">
        <v>81</v>
      </c>
      <c r="H39" s="7" t="s">
        <v>82</v>
      </c>
      <c r="I39" s="7" t="s">
        <v>51</v>
      </c>
      <c r="J39" s="7" t="n">
        <v>5</v>
      </c>
      <c r="K39" s="8" t="n">
        <v>5529</v>
      </c>
      <c r="L39" s="9" t="n">
        <v>0.15</v>
      </c>
      <c r="M39" s="8" t="n">
        <v>15263.6</v>
      </c>
      <c r="N39" s="8" t="n">
        <f aca="false">J39*K39*(1-L39)</f>
        <v>23498.25</v>
      </c>
      <c r="O39" s="8" t="n">
        <f aca="false">N39-M39</f>
        <v>8234.65</v>
      </c>
      <c r="P39" s="10" t="n">
        <f aca="false">IFERROR(O39/N39,0)</f>
        <v>0.350436734650453</v>
      </c>
      <c r="Q39" s="7" t="str">
        <f aca="false">TEXT(B39,"mmm")</f>
        <v>May</v>
      </c>
      <c r="R39" s="7" t="str">
        <f aca="false">TEXT(B39,"yyyy-mm")</f>
        <v>2024-05</v>
      </c>
    </row>
    <row r="40" customFormat="false" ht="15" hidden="false" customHeight="false" outlineLevel="0" collapsed="false">
      <c r="A40" s="7" t="s">
        <v>229</v>
      </c>
      <c r="B40" s="7" t="s">
        <v>230</v>
      </c>
      <c r="C40" s="7" t="s">
        <v>231</v>
      </c>
      <c r="D40" s="7" t="s">
        <v>227</v>
      </c>
      <c r="E40" s="7" t="s">
        <v>228</v>
      </c>
      <c r="F40" s="7" t="s">
        <v>64</v>
      </c>
      <c r="G40" s="7" t="s">
        <v>73</v>
      </c>
      <c r="H40" s="7" t="s">
        <v>211</v>
      </c>
      <c r="I40" s="7" t="s">
        <v>75</v>
      </c>
      <c r="J40" s="7" t="n">
        <v>3</v>
      </c>
      <c r="K40" s="8" t="n">
        <v>5529</v>
      </c>
      <c r="L40" s="9" t="n">
        <v>0.05</v>
      </c>
      <c r="M40" s="8" t="n">
        <v>9158.16</v>
      </c>
      <c r="N40" s="8" t="n">
        <f aca="false">J40*K40*(1-L40)</f>
        <v>15757.65</v>
      </c>
      <c r="O40" s="8" t="n">
        <f aca="false">N40-M40</f>
        <v>6599.49</v>
      </c>
      <c r="P40" s="10" t="n">
        <f aca="false">IFERROR(O40/N40,0)</f>
        <v>0.418811815213563</v>
      </c>
      <c r="Q40" s="7" t="str">
        <f aca="false">TEXT(B40,"mmm")</f>
        <v>Sep</v>
      </c>
      <c r="R40" s="7" t="str">
        <f aca="false">TEXT(B40,"yyyy-mm")</f>
        <v>2024-09</v>
      </c>
    </row>
    <row r="41" customFormat="false" ht="15" hidden="false" customHeight="false" outlineLevel="0" collapsed="false">
      <c r="A41" s="7" t="s">
        <v>232</v>
      </c>
      <c r="B41" s="7" t="s">
        <v>233</v>
      </c>
      <c r="C41" s="7" t="s">
        <v>234</v>
      </c>
      <c r="D41" s="7" t="s">
        <v>104</v>
      </c>
      <c r="E41" s="7" t="s">
        <v>105</v>
      </c>
      <c r="F41" s="7" t="s">
        <v>48</v>
      </c>
      <c r="G41" s="7" t="s">
        <v>65</v>
      </c>
      <c r="H41" s="7" t="s">
        <v>106</v>
      </c>
      <c r="I41" s="7" t="s">
        <v>51</v>
      </c>
      <c r="J41" s="7" t="n">
        <v>8</v>
      </c>
      <c r="K41" s="8" t="n">
        <v>2000</v>
      </c>
      <c r="L41" s="9" t="n">
        <v>0.2</v>
      </c>
      <c r="M41" s="8" t="n">
        <v>6970.4</v>
      </c>
      <c r="N41" s="8" t="n">
        <f aca="false">J41*K41*(1-L41)</f>
        <v>12800</v>
      </c>
      <c r="O41" s="8" t="n">
        <f aca="false">N41-M41</f>
        <v>5829.6</v>
      </c>
      <c r="P41" s="10" t="n">
        <f aca="false">IFERROR(O41/N41,0)</f>
        <v>0.4554375</v>
      </c>
      <c r="Q41" s="7" t="str">
        <f aca="false">TEXT(B41,"mmm")</f>
        <v>Mar</v>
      </c>
      <c r="R41" s="7" t="str">
        <f aca="false">TEXT(B41,"yyyy-mm")</f>
        <v>2024-03</v>
      </c>
    </row>
    <row r="42" customFormat="false" ht="15" hidden="false" customHeight="false" outlineLevel="0" collapsed="false">
      <c r="A42" s="7" t="s">
        <v>235</v>
      </c>
      <c r="B42" s="7" t="s">
        <v>236</v>
      </c>
      <c r="C42" s="7" t="s">
        <v>175</v>
      </c>
      <c r="D42" s="7" t="s">
        <v>144</v>
      </c>
      <c r="E42" s="7" t="s">
        <v>145</v>
      </c>
      <c r="F42" s="7" t="s">
        <v>48</v>
      </c>
      <c r="G42" s="7" t="s">
        <v>81</v>
      </c>
      <c r="H42" s="7" t="s">
        <v>237</v>
      </c>
      <c r="I42" s="7" t="s">
        <v>75</v>
      </c>
      <c r="J42" s="7" t="n">
        <v>2</v>
      </c>
      <c r="K42" s="8" t="n">
        <v>5149</v>
      </c>
      <c r="L42" s="9" t="n">
        <v>0.1</v>
      </c>
      <c r="M42" s="8" t="n">
        <v>4344.96</v>
      </c>
      <c r="N42" s="8" t="n">
        <f aca="false">J42*K42*(1-L42)</f>
        <v>9268.2</v>
      </c>
      <c r="O42" s="8" t="n">
        <f aca="false">N42-M42</f>
        <v>4923.24</v>
      </c>
      <c r="P42" s="10" t="n">
        <f aca="false">IFERROR(O42/N42,0)</f>
        <v>0.531196996180488</v>
      </c>
      <c r="Q42" s="7" t="str">
        <f aca="false">TEXT(B42,"mmm")</f>
        <v>Jan</v>
      </c>
      <c r="R42" s="7" t="str">
        <f aca="false">TEXT(B42,"yyyy-mm")</f>
        <v>2024-01</v>
      </c>
    </row>
    <row r="43" customFormat="false" ht="15" hidden="false" customHeight="false" outlineLevel="0" collapsed="false">
      <c r="A43" s="7" t="s">
        <v>238</v>
      </c>
      <c r="B43" s="7" t="s">
        <v>239</v>
      </c>
      <c r="C43" s="7" t="s">
        <v>240</v>
      </c>
      <c r="D43" s="7" t="s">
        <v>79</v>
      </c>
      <c r="E43" s="7" t="s">
        <v>80</v>
      </c>
      <c r="F43" s="7" t="s">
        <v>72</v>
      </c>
      <c r="G43" s="7" t="s">
        <v>49</v>
      </c>
      <c r="H43" s="7" t="s">
        <v>58</v>
      </c>
      <c r="I43" s="7" t="s">
        <v>51</v>
      </c>
      <c r="J43" s="7" t="n">
        <v>3</v>
      </c>
      <c r="K43" s="8" t="n">
        <v>4769</v>
      </c>
      <c r="L43" s="9" t="n">
        <v>0.15</v>
      </c>
      <c r="M43" s="8" t="n">
        <v>8174.43</v>
      </c>
      <c r="N43" s="8" t="n">
        <f aca="false">J43*K43*(1-L43)</f>
        <v>12160.95</v>
      </c>
      <c r="O43" s="8" t="n">
        <f aca="false">N43-M43</f>
        <v>3986.52</v>
      </c>
      <c r="P43" s="10" t="n">
        <f aca="false">IFERROR(O43/N43,0)</f>
        <v>0.327813205382803</v>
      </c>
      <c r="Q43" s="7" t="str">
        <f aca="false">TEXT(B43,"mmm")</f>
        <v>Apr</v>
      </c>
      <c r="R43" s="7" t="str">
        <f aca="false">TEXT(B43,"yyyy-mm")</f>
        <v>2024-04</v>
      </c>
    </row>
    <row r="44" customFormat="false" ht="15" hidden="false" customHeight="false" outlineLevel="0" collapsed="false">
      <c r="A44" s="7" t="s">
        <v>241</v>
      </c>
      <c r="B44" s="7" t="s">
        <v>242</v>
      </c>
      <c r="C44" s="7" t="s">
        <v>243</v>
      </c>
      <c r="D44" s="7" t="s">
        <v>244</v>
      </c>
      <c r="E44" s="7" t="s">
        <v>245</v>
      </c>
      <c r="F44" s="7" t="s">
        <v>88</v>
      </c>
      <c r="G44" s="7" t="s">
        <v>73</v>
      </c>
      <c r="H44" s="7" t="s">
        <v>115</v>
      </c>
      <c r="I44" s="7" t="s">
        <v>75</v>
      </c>
      <c r="J44" s="7" t="n">
        <v>5</v>
      </c>
      <c r="K44" s="8" t="n">
        <v>5319</v>
      </c>
      <c r="L44" s="9" t="n">
        <v>0.15</v>
      </c>
      <c r="M44" s="8" t="n">
        <v>15429.15</v>
      </c>
      <c r="N44" s="8" t="n">
        <f aca="false">J44*K44*(1-L44)</f>
        <v>22605.75</v>
      </c>
      <c r="O44" s="8" t="n">
        <f aca="false">N44-M44</f>
        <v>7176.6</v>
      </c>
      <c r="P44" s="10" t="n">
        <f aca="false">IFERROR(O44/N44,0)</f>
        <v>0.31746790086593</v>
      </c>
      <c r="Q44" s="7" t="str">
        <f aca="false">TEXT(B44,"mmm")</f>
        <v>Mar</v>
      </c>
      <c r="R44" s="7" t="str">
        <f aca="false">TEXT(B44,"yyyy-mm")</f>
        <v>2024-03</v>
      </c>
    </row>
    <row r="45" customFormat="false" ht="15" hidden="false" customHeight="false" outlineLevel="0" collapsed="false">
      <c r="A45" s="7" t="s">
        <v>246</v>
      </c>
      <c r="B45" s="7" t="s">
        <v>247</v>
      </c>
      <c r="C45" s="7" t="s">
        <v>248</v>
      </c>
      <c r="D45" s="7" t="s">
        <v>249</v>
      </c>
      <c r="E45" s="7" t="s">
        <v>250</v>
      </c>
      <c r="F45" s="7" t="s">
        <v>57</v>
      </c>
      <c r="G45" s="7" t="s">
        <v>65</v>
      </c>
      <c r="H45" s="7" t="s">
        <v>106</v>
      </c>
      <c r="I45" s="7" t="s">
        <v>51</v>
      </c>
      <c r="J45" s="7" t="n">
        <v>6</v>
      </c>
      <c r="K45" s="8" t="n">
        <v>1730</v>
      </c>
      <c r="L45" s="9" t="n">
        <v>0</v>
      </c>
      <c r="M45" s="8" t="n">
        <v>5294.64</v>
      </c>
      <c r="N45" s="8" t="n">
        <f aca="false">J45*K45*(1-L45)</f>
        <v>10380</v>
      </c>
      <c r="O45" s="8" t="n">
        <f aca="false">N45-M45</f>
        <v>5085.36</v>
      </c>
      <c r="P45" s="10" t="n">
        <f aca="false">IFERROR(O45/N45,0)</f>
        <v>0.489919075144509</v>
      </c>
      <c r="Q45" s="7" t="str">
        <f aca="false">TEXT(B45,"mmm")</f>
        <v>Apr</v>
      </c>
      <c r="R45" s="7" t="str">
        <f aca="false">TEXT(B45,"yyyy-mm")</f>
        <v>2024-04</v>
      </c>
    </row>
    <row r="46" customFormat="false" ht="15" hidden="false" customHeight="false" outlineLevel="0" collapsed="false">
      <c r="A46" s="7" t="s">
        <v>251</v>
      </c>
      <c r="B46" s="7" t="s">
        <v>252</v>
      </c>
      <c r="C46" s="7" t="s">
        <v>253</v>
      </c>
      <c r="D46" s="7" t="s">
        <v>113</v>
      </c>
      <c r="E46" s="7" t="s">
        <v>114</v>
      </c>
      <c r="F46" s="7" t="s">
        <v>57</v>
      </c>
      <c r="G46" s="7" t="s">
        <v>73</v>
      </c>
      <c r="H46" s="7" t="s">
        <v>211</v>
      </c>
      <c r="I46" s="7" t="s">
        <v>75</v>
      </c>
      <c r="J46" s="7" t="n">
        <v>3</v>
      </c>
      <c r="K46" s="8" t="n">
        <v>3069</v>
      </c>
      <c r="L46" s="9" t="n">
        <v>0.1</v>
      </c>
      <c r="M46" s="8" t="n">
        <v>6876.24</v>
      </c>
      <c r="N46" s="8" t="n">
        <f aca="false">J46*K46*(1-L46)</f>
        <v>8286.3</v>
      </c>
      <c r="O46" s="8" t="n">
        <f aca="false">N46-M46</f>
        <v>1410.06</v>
      </c>
      <c r="P46" s="10" t="n">
        <f aca="false">IFERROR(O46/N46,0)</f>
        <v>0.170167626081605</v>
      </c>
      <c r="Q46" s="7" t="str">
        <f aca="false">TEXT(B46,"mmm")</f>
        <v>Oct</v>
      </c>
      <c r="R46" s="7" t="str">
        <f aca="false">TEXT(B46,"yyyy-mm")</f>
        <v>2024-10</v>
      </c>
    </row>
    <row r="47" customFormat="false" ht="15" hidden="false" customHeight="false" outlineLevel="0" collapsed="false">
      <c r="A47" s="7" t="s">
        <v>254</v>
      </c>
      <c r="B47" s="7" t="s">
        <v>255</v>
      </c>
      <c r="C47" s="7" t="s">
        <v>256</v>
      </c>
      <c r="D47" s="7" t="s">
        <v>181</v>
      </c>
      <c r="E47" s="7" t="s">
        <v>182</v>
      </c>
      <c r="F47" s="7" t="s">
        <v>88</v>
      </c>
      <c r="G47" s="7" t="s">
        <v>65</v>
      </c>
      <c r="H47" s="7" t="s">
        <v>106</v>
      </c>
      <c r="I47" s="7" t="s">
        <v>51</v>
      </c>
      <c r="J47" s="7" t="n">
        <v>3</v>
      </c>
      <c r="K47" s="8" t="n">
        <v>4489</v>
      </c>
      <c r="L47" s="9" t="n">
        <v>0</v>
      </c>
      <c r="M47" s="8" t="n">
        <v>5866.71</v>
      </c>
      <c r="N47" s="8" t="n">
        <f aca="false">J47*K47*(1-L47)</f>
        <v>13467</v>
      </c>
      <c r="O47" s="8" t="n">
        <f aca="false">N47-M47</f>
        <v>7600.29</v>
      </c>
      <c r="P47" s="10" t="n">
        <f aca="false">IFERROR(O47/N47,0)</f>
        <v>0.564364000891067</v>
      </c>
      <c r="Q47" s="7" t="str">
        <f aca="false">TEXT(B47,"mmm")</f>
        <v>Jan</v>
      </c>
      <c r="R47" s="7" t="str">
        <f aca="false">TEXT(B47,"yyyy-mm")</f>
        <v>2024-01</v>
      </c>
    </row>
    <row r="48" customFormat="false" ht="15" hidden="false" customHeight="false" outlineLevel="0" collapsed="false">
      <c r="A48" s="7" t="s">
        <v>257</v>
      </c>
      <c r="B48" s="7" t="s">
        <v>258</v>
      </c>
      <c r="C48" s="7" t="s">
        <v>259</v>
      </c>
      <c r="D48" s="7" t="s">
        <v>260</v>
      </c>
      <c r="E48" s="7" t="s">
        <v>261</v>
      </c>
      <c r="F48" s="7" t="s">
        <v>72</v>
      </c>
      <c r="G48" s="7" t="s">
        <v>81</v>
      </c>
      <c r="H48" s="7" t="s">
        <v>82</v>
      </c>
      <c r="I48" s="7" t="s">
        <v>75</v>
      </c>
      <c r="J48" s="7" t="n">
        <v>5</v>
      </c>
      <c r="K48" s="8" t="n">
        <v>4879</v>
      </c>
      <c r="L48" s="9" t="n">
        <v>0</v>
      </c>
      <c r="M48" s="8" t="n">
        <v>12168.65</v>
      </c>
      <c r="N48" s="8" t="n">
        <f aca="false">J48*K48*(1-L48)</f>
        <v>24395</v>
      </c>
      <c r="O48" s="8" t="n">
        <f aca="false">N48-M48</f>
        <v>12226.35</v>
      </c>
      <c r="P48" s="10" t="n">
        <f aca="false">IFERROR(O48/N48,0)</f>
        <v>0.501182619389219</v>
      </c>
      <c r="Q48" s="7" t="str">
        <f aca="false">TEXT(B48,"mmm")</f>
        <v>Feb</v>
      </c>
      <c r="R48" s="7" t="str">
        <f aca="false">TEXT(B48,"yyyy-mm")</f>
        <v>2024-02</v>
      </c>
    </row>
    <row r="49" customFormat="false" ht="15" hidden="false" customHeight="false" outlineLevel="0" collapsed="false">
      <c r="A49" s="7" t="s">
        <v>262</v>
      </c>
      <c r="B49" s="7" t="s">
        <v>230</v>
      </c>
      <c r="C49" s="7" t="s">
        <v>263</v>
      </c>
      <c r="D49" s="7" t="s">
        <v>206</v>
      </c>
      <c r="E49" s="7" t="s">
        <v>207</v>
      </c>
      <c r="F49" s="7" t="s">
        <v>88</v>
      </c>
      <c r="G49" s="7" t="s">
        <v>49</v>
      </c>
      <c r="H49" s="7" t="s">
        <v>172</v>
      </c>
      <c r="I49" s="7" t="s">
        <v>75</v>
      </c>
      <c r="J49" s="7" t="n">
        <v>4</v>
      </c>
      <c r="K49" s="8" t="n">
        <v>1029</v>
      </c>
      <c r="L49" s="9" t="n">
        <v>0.05</v>
      </c>
      <c r="M49" s="8" t="n">
        <v>2514.48</v>
      </c>
      <c r="N49" s="8" t="n">
        <f aca="false">J49*K49*(1-L49)</f>
        <v>3910.2</v>
      </c>
      <c r="O49" s="8" t="n">
        <f aca="false">N49-M49</f>
        <v>1395.72</v>
      </c>
      <c r="P49" s="10" t="n">
        <f aca="false">IFERROR(O49/N49,0)</f>
        <v>0.356943378855302</v>
      </c>
      <c r="Q49" s="7" t="str">
        <f aca="false">TEXT(B49,"mmm")</f>
        <v>Sep</v>
      </c>
      <c r="R49" s="7" t="str">
        <f aca="false">TEXT(B49,"yyyy-mm")</f>
        <v>2024-09</v>
      </c>
    </row>
    <row r="50" customFormat="false" ht="15" hidden="false" customHeight="false" outlineLevel="0" collapsed="false">
      <c r="A50" s="7" t="s">
        <v>264</v>
      </c>
      <c r="B50" s="7" t="s">
        <v>195</v>
      </c>
      <c r="C50" s="7" t="s">
        <v>265</v>
      </c>
      <c r="D50" s="7" t="s">
        <v>46</v>
      </c>
      <c r="E50" s="7" t="s">
        <v>47</v>
      </c>
      <c r="F50" s="7" t="s">
        <v>48</v>
      </c>
      <c r="G50" s="7" t="s">
        <v>73</v>
      </c>
      <c r="H50" s="7" t="s">
        <v>266</v>
      </c>
      <c r="I50" s="7" t="s">
        <v>51</v>
      </c>
      <c r="J50" s="7" t="n">
        <v>6</v>
      </c>
      <c r="K50" s="8" t="n">
        <v>4349</v>
      </c>
      <c r="L50" s="9" t="n">
        <v>0.05</v>
      </c>
      <c r="M50" s="8" t="n">
        <v>14932.62</v>
      </c>
      <c r="N50" s="8" t="n">
        <f aca="false">J50*K50*(1-L50)</f>
        <v>24789.3</v>
      </c>
      <c r="O50" s="8" t="n">
        <f aca="false">N50-M50</f>
        <v>9856.68</v>
      </c>
      <c r="P50" s="10" t="n">
        <f aca="false">IFERROR(O50/N50,0)</f>
        <v>0.397618327262166</v>
      </c>
      <c r="Q50" s="7" t="str">
        <f aca="false">TEXT(B50,"mmm")</f>
        <v>Feb</v>
      </c>
      <c r="R50" s="7" t="str">
        <f aca="false">TEXT(B50,"yyyy-mm")</f>
        <v>2024-02</v>
      </c>
    </row>
    <row r="51" customFormat="false" ht="15" hidden="false" customHeight="false" outlineLevel="0" collapsed="false">
      <c r="A51" s="7" t="s">
        <v>267</v>
      </c>
      <c r="B51" s="7" t="s">
        <v>268</v>
      </c>
      <c r="C51" s="7" t="s">
        <v>269</v>
      </c>
      <c r="D51" s="7" t="s">
        <v>162</v>
      </c>
      <c r="E51" s="7" t="s">
        <v>163</v>
      </c>
      <c r="F51" s="7" t="s">
        <v>57</v>
      </c>
      <c r="G51" s="7" t="s">
        <v>65</v>
      </c>
      <c r="H51" s="7" t="s">
        <v>217</v>
      </c>
      <c r="I51" s="7" t="s">
        <v>51</v>
      </c>
      <c r="J51" s="7" t="n">
        <v>8</v>
      </c>
      <c r="K51" s="8" t="n">
        <v>4629</v>
      </c>
      <c r="L51" s="9" t="n">
        <v>0.1</v>
      </c>
      <c r="M51" s="8" t="n">
        <v>16241.36</v>
      </c>
      <c r="N51" s="8" t="n">
        <f aca="false">J51*K51*(1-L51)</f>
        <v>33328.8</v>
      </c>
      <c r="O51" s="8" t="n">
        <f aca="false">N51-M51</f>
        <v>17087.44</v>
      </c>
      <c r="P51" s="10" t="n">
        <f aca="false">IFERROR(O51/N51,0)</f>
        <v>0.512692926237968</v>
      </c>
      <c r="Q51" s="7" t="str">
        <f aca="false">TEXT(B51,"mmm")</f>
        <v>Nov</v>
      </c>
      <c r="R51" s="7" t="str">
        <f aca="false">TEXT(B51,"yyyy-mm")</f>
        <v>2024-11</v>
      </c>
    </row>
    <row r="52" customFormat="false" ht="15" hidden="false" customHeight="false" outlineLevel="0" collapsed="false">
      <c r="A52" s="7" t="s">
        <v>270</v>
      </c>
      <c r="B52" s="7" t="s">
        <v>271</v>
      </c>
      <c r="C52" s="7" t="s">
        <v>272</v>
      </c>
      <c r="D52" s="7" t="s">
        <v>170</v>
      </c>
      <c r="E52" s="7" t="s">
        <v>171</v>
      </c>
      <c r="F52" s="7" t="s">
        <v>88</v>
      </c>
      <c r="G52" s="7" t="s">
        <v>65</v>
      </c>
      <c r="H52" s="7" t="s">
        <v>66</v>
      </c>
      <c r="I52" s="7" t="s">
        <v>51</v>
      </c>
      <c r="J52" s="7" t="n">
        <v>2</v>
      </c>
      <c r="K52" s="8" t="n">
        <v>5749</v>
      </c>
      <c r="L52" s="9" t="n">
        <v>0.05</v>
      </c>
      <c r="M52" s="8" t="n">
        <v>6315.42</v>
      </c>
      <c r="N52" s="8" t="n">
        <f aca="false">J52*K52*(1-L52)</f>
        <v>10923.1</v>
      </c>
      <c r="O52" s="8" t="n">
        <f aca="false">N52-M52</f>
        <v>4607.68</v>
      </c>
      <c r="P52" s="10" t="n">
        <f aca="false">IFERROR(O52/N52,0)</f>
        <v>0.421828967966969</v>
      </c>
      <c r="Q52" s="7" t="str">
        <f aca="false">TEXT(B52,"mmm")</f>
        <v>May</v>
      </c>
      <c r="R52" s="7" t="str">
        <f aca="false">TEXT(B52,"yyyy-mm")</f>
        <v>2024-05</v>
      </c>
    </row>
    <row r="53" customFormat="false" ht="15" hidden="false" customHeight="false" outlineLevel="0" collapsed="false">
      <c r="A53" s="7" t="s">
        <v>273</v>
      </c>
      <c r="B53" s="7" t="s">
        <v>274</v>
      </c>
      <c r="C53" s="7" t="s">
        <v>275</v>
      </c>
      <c r="D53" s="7" t="s">
        <v>104</v>
      </c>
      <c r="E53" s="7" t="s">
        <v>105</v>
      </c>
      <c r="F53" s="7" t="s">
        <v>48</v>
      </c>
      <c r="G53" s="7" t="s">
        <v>81</v>
      </c>
      <c r="H53" s="7" t="s">
        <v>237</v>
      </c>
      <c r="I53" s="7" t="s">
        <v>51</v>
      </c>
      <c r="J53" s="7" t="n">
        <v>4</v>
      </c>
      <c r="K53" s="8" t="n">
        <v>2000</v>
      </c>
      <c r="L53" s="9" t="n">
        <v>0.05</v>
      </c>
      <c r="M53" s="8" t="n">
        <v>3485.2</v>
      </c>
      <c r="N53" s="8" t="n">
        <f aca="false">J53*K53*(1-L53)</f>
        <v>7600</v>
      </c>
      <c r="O53" s="8" t="n">
        <f aca="false">N53-M53</f>
        <v>4114.8</v>
      </c>
      <c r="P53" s="10" t="n">
        <f aca="false">IFERROR(O53/N53,0)</f>
        <v>0.541421052631579</v>
      </c>
      <c r="Q53" s="7" t="str">
        <f aca="false">TEXT(B53,"mmm")</f>
        <v>Dec</v>
      </c>
      <c r="R53" s="7" t="str">
        <f aca="false">TEXT(B53,"yyyy-mm")</f>
        <v>2024-12</v>
      </c>
    </row>
    <row r="54" customFormat="false" ht="15" hidden="false" customHeight="false" outlineLevel="0" collapsed="false">
      <c r="A54" s="7" t="s">
        <v>276</v>
      </c>
      <c r="B54" s="7" t="s">
        <v>277</v>
      </c>
      <c r="C54" s="7" t="s">
        <v>278</v>
      </c>
      <c r="D54" s="7" t="s">
        <v>197</v>
      </c>
      <c r="E54" s="7" t="s">
        <v>198</v>
      </c>
      <c r="F54" s="7" t="s">
        <v>64</v>
      </c>
      <c r="G54" s="7" t="s">
        <v>65</v>
      </c>
      <c r="H54" s="7" t="s">
        <v>217</v>
      </c>
      <c r="I54" s="7" t="s">
        <v>51</v>
      </c>
      <c r="J54" s="7" t="n">
        <v>4</v>
      </c>
      <c r="K54" s="8" t="n">
        <v>2910</v>
      </c>
      <c r="L54" s="9" t="n">
        <v>0.2</v>
      </c>
      <c r="M54" s="8" t="n">
        <v>5360.64</v>
      </c>
      <c r="N54" s="8" t="n">
        <f aca="false">J54*K54*(1-L54)</f>
        <v>9312</v>
      </c>
      <c r="O54" s="8" t="n">
        <f aca="false">N54-M54</f>
        <v>3951.36</v>
      </c>
      <c r="P54" s="10" t="n">
        <f aca="false">IFERROR(O54/N54,0)</f>
        <v>0.424329896907216</v>
      </c>
      <c r="Q54" s="7" t="str">
        <f aca="false">TEXT(B54,"mmm")</f>
        <v>May</v>
      </c>
      <c r="R54" s="7" t="str">
        <f aca="false">TEXT(B54,"yyyy-mm")</f>
        <v>2024-05</v>
      </c>
    </row>
    <row r="55" customFormat="false" ht="15" hidden="false" customHeight="false" outlineLevel="0" collapsed="false">
      <c r="A55" s="7" t="s">
        <v>279</v>
      </c>
      <c r="B55" s="7" t="s">
        <v>280</v>
      </c>
      <c r="C55" s="7" t="s">
        <v>281</v>
      </c>
      <c r="D55" s="7" t="s">
        <v>260</v>
      </c>
      <c r="E55" s="7" t="s">
        <v>261</v>
      </c>
      <c r="F55" s="7" t="s">
        <v>72</v>
      </c>
      <c r="G55" s="7" t="s">
        <v>65</v>
      </c>
      <c r="H55" s="7" t="s">
        <v>66</v>
      </c>
      <c r="I55" s="7" t="s">
        <v>51</v>
      </c>
      <c r="J55" s="7" t="n">
        <v>6</v>
      </c>
      <c r="K55" s="8" t="n">
        <v>4879</v>
      </c>
      <c r="L55" s="9" t="n">
        <v>0</v>
      </c>
      <c r="M55" s="8" t="n">
        <v>14602.38</v>
      </c>
      <c r="N55" s="8" t="n">
        <f aca="false">J55*K55*(1-L55)</f>
        <v>29274</v>
      </c>
      <c r="O55" s="8" t="n">
        <f aca="false">N55-M55</f>
        <v>14671.62</v>
      </c>
      <c r="P55" s="10" t="n">
        <f aca="false">IFERROR(O55/N55,0)</f>
        <v>0.501182619389219</v>
      </c>
      <c r="Q55" s="7" t="str">
        <f aca="false">TEXT(B55,"mmm")</f>
        <v>Oct</v>
      </c>
      <c r="R55" s="7" t="str">
        <f aca="false">TEXT(B55,"yyyy-mm")</f>
        <v>2024-10</v>
      </c>
    </row>
    <row r="56" customFormat="false" ht="15" hidden="false" customHeight="false" outlineLevel="0" collapsed="false">
      <c r="A56" s="7" t="s">
        <v>282</v>
      </c>
      <c r="B56" s="7" t="s">
        <v>283</v>
      </c>
      <c r="C56" s="7" t="s">
        <v>284</v>
      </c>
      <c r="D56" s="7" t="s">
        <v>206</v>
      </c>
      <c r="E56" s="7" t="s">
        <v>207</v>
      </c>
      <c r="F56" s="7" t="s">
        <v>88</v>
      </c>
      <c r="G56" s="7" t="s">
        <v>73</v>
      </c>
      <c r="H56" s="7" t="s">
        <v>266</v>
      </c>
      <c r="I56" s="7" t="s">
        <v>51</v>
      </c>
      <c r="J56" s="7" t="n">
        <v>4</v>
      </c>
      <c r="K56" s="8" t="n">
        <v>1029</v>
      </c>
      <c r="L56" s="9" t="n">
        <v>0.25</v>
      </c>
      <c r="M56" s="8" t="n">
        <v>2514.48</v>
      </c>
      <c r="N56" s="8" t="n">
        <f aca="false">J56*K56*(1-L56)</f>
        <v>3087</v>
      </c>
      <c r="O56" s="8" t="n">
        <f aca="false">N56-M56</f>
        <v>572.52</v>
      </c>
      <c r="P56" s="10" t="n">
        <f aca="false">IFERROR(O56/N56,0)</f>
        <v>0.185461613216715</v>
      </c>
      <c r="Q56" s="7" t="str">
        <f aca="false">TEXT(B56,"mmm")</f>
        <v>Dec</v>
      </c>
      <c r="R56" s="7" t="str">
        <f aca="false">TEXT(B56,"yyyy-mm")</f>
        <v>2024-12</v>
      </c>
    </row>
    <row r="57" customFormat="false" ht="15" hidden="false" customHeight="false" outlineLevel="0" collapsed="false">
      <c r="A57" s="7" t="s">
        <v>285</v>
      </c>
      <c r="B57" s="7" t="s">
        <v>286</v>
      </c>
      <c r="C57" s="7" t="s">
        <v>69</v>
      </c>
      <c r="D57" s="7" t="s">
        <v>287</v>
      </c>
      <c r="E57" s="7" t="s">
        <v>288</v>
      </c>
      <c r="F57" s="7" t="s">
        <v>72</v>
      </c>
      <c r="G57" s="7" t="s">
        <v>65</v>
      </c>
      <c r="H57" s="7" t="s">
        <v>66</v>
      </c>
      <c r="I57" s="7" t="s">
        <v>51</v>
      </c>
      <c r="J57" s="7" t="n">
        <v>3</v>
      </c>
      <c r="K57" s="8" t="n">
        <v>1049</v>
      </c>
      <c r="L57" s="9" t="n">
        <v>0</v>
      </c>
      <c r="M57" s="8" t="n">
        <v>1986.06</v>
      </c>
      <c r="N57" s="8" t="n">
        <f aca="false">J57*K57*(1-L57)</f>
        <v>3147</v>
      </c>
      <c r="O57" s="8" t="n">
        <f aca="false">N57-M57</f>
        <v>1160.94</v>
      </c>
      <c r="P57" s="10" t="n">
        <f aca="false">IFERROR(O57/N57,0)</f>
        <v>0.368903717826501</v>
      </c>
      <c r="Q57" s="7" t="str">
        <f aca="false">TEXT(B57,"mmm")</f>
        <v>May</v>
      </c>
      <c r="R57" s="7" t="str">
        <f aca="false">TEXT(B57,"yyyy-mm")</f>
        <v>2024-05</v>
      </c>
    </row>
    <row r="58" customFormat="false" ht="15" hidden="false" customHeight="false" outlineLevel="0" collapsed="false">
      <c r="A58" s="7" t="s">
        <v>289</v>
      </c>
      <c r="B58" s="7" t="s">
        <v>200</v>
      </c>
      <c r="C58" s="7" t="s">
        <v>158</v>
      </c>
      <c r="D58" s="7" t="s">
        <v>46</v>
      </c>
      <c r="E58" s="7" t="s">
        <v>47</v>
      </c>
      <c r="F58" s="7" t="s">
        <v>48</v>
      </c>
      <c r="G58" s="7" t="s">
        <v>81</v>
      </c>
      <c r="H58" s="7" t="s">
        <v>186</v>
      </c>
      <c r="I58" s="7" t="s">
        <v>75</v>
      </c>
      <c r="J58" s="7" t="n">
        <v>4</v>
      </c>
      <c r="K58" s="8" t="n">
        <v>4349</v>
      </c>
      <c r="L58" s="9" t="n">
        <v>0</v>
      </c>
      <c r="M58" s="8" t="n">
        <v>9955.08</v>
      </c>
      <c r="N58" s="8" t="n">
        <f aca="false">J58*K58*(1-L58)</f>
        <v>17396</v>
      </c>
      <c r="O58" s="8" t="n">
        <f aca="false">N58-M58</f>
        <v>7440.92</v>
      </c>
      <c r="P58" s="10" t="n">
        <f aca="false">IFERROR(O58/N58,0)</f>
        <v>0.427737410899057</v>
      </c>
      <c r="Q58" s="7" t="str">
        <f aca="false">TEXT(B58,"mmm")</f>
        <v>May</v>
      </c>
      <c r="R58" s="7" t="str">
        <f aca="false">TEXT(B58,"yyyy-mm")</f>
        <v>2024-05</v>
      </c>
    </row>
    <row r="59" customFormat="false" ht="15" hidden="false" customHeight="false" outlineLevel="0" collapsed="false">
      <c r="A59" s="7" t="s">
        <v>290</v>
      </c>
      <c r="B59" s="7" t="s">
        <v>291</v>
      </c>
      <c r="C59" s="7" t="s">
        <v>278</v>
      </c>
      <c r="D59" s="7" t="s">
        <v>197</v>
      </c>
      <c r="E59" s="7" t="s">
        <v>198</v>
      </c>
      <c r="F59" s="7" t="s">
        <v>64</v>
      </c>
      <c r="G59" s="7" t="s">
        <v>73</v>
      </c>
      <c r="H59" s="7" t="s">
        <v>115</v>
      </c>
      <c r="I59" s="7" t="s">
        <v>51</v>
      </c>
      <c r="J59" s="7" t="n">
        <v>3</v>
      </c>
      <c r="K59" s="8" t="n">
        <v>2910</v>
      </c>
      <c r="L59" s="9" t="n">
        <v>0.15</v>
      </c>
      <c r="M59" s="8" t="n">
        <v>4020.48</v>
      </c>
      <c r="N59" s="8" t="n">
        <f aca="false">J59*K59*(1-L59)</f>
        <v>7420.5</v>
      </c>
      <c r="O59" s="8" t="n">
        <f aca="false">N59-M59</f>
        <v>3400.02</v>
      </c>
      <c r="P59" s="10" t="n">
        <f aca="false">IFERROR(O59/N59,0)</f>
        <v>0.458192844147968</v>
      </c>
      <c r="Q59" s="7" t="str">
        <f aca="false">TEXT(B59,"mmm")</f>
        <v>May</v>
      </c>
      <c r="R59" s="7" t="str">
        <f aca="false">TEXT(B59,"yyyy-mm")</f>
        <v>2024-05</v>
      </c>
    </row>
    <row r="60" customFormat="false" ht="15" hidden="false" customHeight="false" outlineLevel="0" collapsed="false">
      <c r="A60" s="7" t="s">
        <v>292</v>
      </c>
      <c r="B60" s="7" t="s">
        <v>293</v>
      </c>
      <c r="C60" s="7" t="s">
        <v>294</v>
      </c>
      <c r="D60" s="7" t="s">
        <v>295</v>
      </c>
      <c r="E60" s="7" t="s">
        <v>296</v>
      </c>
      <c r="F60" s="7" t="s">
        <v>64</v>
      </c>
      <c r="G60" s="7" t="s">
        <v>81</v>
      </c>
      <c r="H60" s="7" t="s">
        <v>82</v>
      </c>
      <c r="I60" s="7" t="s">
        <v>51</v>
      </c>
      <c r="J60" s="7" t="n">
        <v>5</v>
      </c>
      <c r="K60" s="8" t="n">
        <v>1249</v>
      </c>
      <c r="L60" s="9" t="n">
        <v>0</v>
      </c>
      <c r="M60" s="8" t="n">
        <v>4586.55</v>
      </c>
      <c r="N60" s="8" t="n">
        <f aca="false">J60*K60*(1-L60)</f>
        <v>6245</v>
      </c>
      <c r="O60" s="8" t="n">
        <f aca="false">N60-M60</f>
        <v>1658.45</v>
      </c>
      <c r="P60" s="10" t="n">
        <f aca="false">IFERROR(O60/N60,0)</f>
        <v>0.265564451561249</v>
      </c>
      <c r="Q60" s="7" t="str">
        <f aca="false">TEXT(B60,"mmm")</f>
        <v>Dec</v>
      </c>
      <c r="R60" s="7" t="str">
        <f aca="false">TEXT(B60,"yyyy-mm")</f>
        <v>2024-12</v>
      </c>
    </row>
    <row r="61" customFormat="false" ht="15" hidden="false" customHeight="false" outlineLevel="0" collapsed="false">
      <c r="A61" s="7" t="s">
        <v>297</v>
      </c>
      <c r="B61" s="7" t="s">
        <v>298</v>
      </c>
      <c r="C61" s="7" t="s">
        <v>299</v>
      </c>
      <c r="D61" s="7" t="s">
        <v>201</v>
      </c>
      <c r="E61" s="7" t="s">
        <v>202</v>
      </c>
      <c r="F61" s="7" t="s">
        <v>72</v>
      </c>
      <c r="G61" s="7" t="s">
        <v>81</v>
      </c>
      <c r="H61" s="7" t="s">
        <v>82</v>
      </c>
      <c r="I61" s="7" t="s">
        <v>51</v>
      </c>
      <c r="J61" s="7" t="n">
        <v>2</v>
      </c>
      <c r="K61" s="8" t="n">
        <v>3990</v>
      </c>
      <c r="L61" s="9" t="n">
        <v>0.25</v>
      </c>
      <c r="M61" s="8" t="n">
        <v>6067.22</v>
      </c>
      <c r="N61" s="8" t="n">
        <f aca="false">J61*K61*(1-L61)</f>
        <v>5985</v>
      </c>
      <c r="O61" s="8" t="n">
        <f aca="false">N61-M61</f>
        <v>-82.2200000000003</v>
      </c>
      <c r="P61" s="10" t="n">
        <f aca="false">IFERROR(O61/N61,0)</f>
        <v>-0.0137376775271513</v>
      </c>
      <c r="Q61" s="7" t="str">
        <f aca="false">TEXT(B61,"mmm")</f>
        <v>Jul</v>
      </c>
      <c r="R61" s="7" t="str">
        <f aca="false">TEXT(B61,"yyyy-mm")</f>
        <v>2024-07</v>
      </c>
    </row>
    <row r="62" customFormat="false" ht="15" hidden="false" customHeight="false" outlineLevel="0" collapsed="false">
      <c r="A62" s="7" t="s">
        <v>300</v>
      </c>
      <c r="B62" s="7" t="s">
        <v>301</v>
      </c>
      <c r="C62" s="7" t="s">
        <v>302</v>
      </c>
      <c r="D62" s="7" t="s">
        <v>79</v>
      </c>
      <c r="E62" s="7" t="s">
        <v>80</v>
      </c>
      <c r="F62" s="7" t="s">
        <v>72</v>
      </c>
      <c r="G62" s="7" t="s">
        <v>49</v>
      </c>
      <c r="H62" s="7" t="s">
        <v>50</v>
      </c>
      <c r="I62" s="7" t="s">
        <v>51</v>
      </c>
      <c r="J62" s="7" t="n">
        <v>4</v>
      </c>
      <c r="K62" s="8" t="n">
        <v>4769</v>
      </c>
      <c r="L62" s="9" t="n">
        <v>0</v>
      </c>
      <c r="M62" s="8" t="n">
        <v>10899.24</v>
      </c>
      <c r="N62" s="8" t="n">
        <f aca="false">J62*K62*(1-L62)</f>
        <v>19076</v>
      </c>
      <c r="O62" s="8" t="n">
        <f aca="false">N62-M62</f>
        <v>8176.76</v>
      </c>
      <c r="P62" s="10" t="n">
        <f aca="false">IFERROR(O62/N62,0)</f>
        <v>0.428641224575383</v>
      </c>
      <c r="Q62" s="7" t="str">
        <f aca="false">TEXT(B62,"mmm")</f>
        <v>May</v>
      </c>
      <c r="R62" s="7" t="str">
        <f aca="false">TEXT(B62,"yyyy-mm")</f>
        <v>2024-05</v>
      </c>
    </row>
    <row r="63" customFormat="false" ht="15" hidden="false" customHeight="false" outlineLevel="0" collapsed="false">
      <c r="A63" s="7" t="s">
        <v>303</v>
      </c>
      <c r="B63" s="7" t="s">
        <v>304</v>
      </c>
      <c r="C63" s="7" t="s">
        <v>305</v>
      </c>
      <c r="D63" s="7" t="s">
        <v>181</v>
      </c>
      <c r="E63" s="7" t="s">
        <v>182</v>
      </c>
      <c r="F63" s="7" t="s">
        <v>88</v>
      </c>
      <c r="G63" s="7" t="s">
        <v>65</v>
      </c>
      <c r="H63" s="7" t="s">
        <v>126</v>
      </c>
      <c r="I63" s="7" t="s">
        <v>51</v>
      </c>
      <c r="J63" s="7" t="n">
        <v>5</v>
      </c>
      <c r="K63" s="8" t="n">
        <v>4489</v>
      </c>
      <c r="L63" s="9" t="n">
        <v>0</v>
      </c>
      <c r="M63" s="8" t="n">
        <v>9777.85</v>
      </c>
      <c r="N63" s="8" t="n">
        <f aca="false">J63*K63*(1-L63)</f>
        <v>22445</v>
      </c>
      <c r="O63" s="8" t="n">
        <f aca="false">N63-M63</f>
        <v>12667.15</v>
      </c>
      <c r="P63" s="10" t="n">
        <f aca="false">IFERROR(O63/N63,0)</f>
        <v>0.564364000891067</v>
      </c>
      <c r="Q63" s="7" t="str">
        <f aca="false">TEXT(B63,"mmm")</f>
        <v>Sep</v>
      </c>
      <c r="R63" s="7" t="str">
        <f aca="false">TEXT(B63,"yyyy-mm")</f>
        <v>2024-09</v>
      </c>
    </row>
    <row r="64" customFormat="false" ht="15" hidden="false" customHeight="false" outlineLevel="0" collapsed="false">
      <c r="A64" s="7" t="s">
        <v>306</v>
      </c>
      <c r="B64" s="7" t="s">
        <v>222</v>
      </c>
      <c r="C64" s="7" t="s">
        <v>307</v>
      </c>
      <c r="D64" s="7" t="s">
        <v>244</v>
      </c>
      <c r="E64" s="7" t="s">
        <v>245</v>
      </c>
      <c r="F64" s="7" t="s">
        <v>88</v>
      </c>
      <c r="G64" s="7" t="s">
        <v>73</v>
      </c>
      <c r="H64" s="7" t="s">
        <v>74</v>
      </c>
      <c r="I64" s="7" t="s">
        <v>51</v>
      </c>
      <c r="J64" s="7" t="n">
        <v>1</v>
      </c>
      <c r="K64" s="8" t="n">
        <v>5319</v>
      </c>
      <c r="L64" s="9" t="n">
        <v>0.1</v>
      </c>
      <c r="M64" s="8" t="n">
        <v>3085.83</v>
      </c>
      <c r="N64" s="8" t="n">
        <f aca="false">J64*K64*(1-L64)</f>
        <v>4787.1</v>
      </c>
      <c r="O64" s="8" t="n">
        <f aca="false">N64-M64</f>
        <v>1701.27</v>
      </c>
      <c r="P64" s="10" t="n">
        <f aca="false">IFERROR(O64/N64,0)</f>
        <v>0.355386350817823</v>
      </c>
      <c r="Q64" s="7" t="str">
        <f aca="false">TEXT(B64,"mmm")</f>
        <v>Jul</v>
      </c>
      <c r="R64" s="7" t="str">
        <f aca="false">TEXT(B64,"yyyy-mm")</f>
        <v>2024-07</v>
      </c>
    </row>
    <row r="65" customFormat="false" ht="15" hidden="false" customHeight="false" outlineLevel="0" collapsed="false">
      <c r="A65" s="7" t="s">
        <v>308</v>
      </c>
      <c r="B65" s="7" t="s">
        <v>309</v>
      </c>
      <c r="C65" s="7" t="s">
        <v>310</v>
      </c>
      <c r="D65" s="7" t="s">
        <v>249</v>
      </c>
      <c r="E65" s="7" t="s">
        <v>250</v>
      </c>
      <c r="F65" s="7" t="s">
        <v>57</v>
      </c>
      <c r="G65" s="7" t="s">
        <v>81</v>
      </c>
      <c r="H65" s="7" t="s">
        <v>109</v>
      </c>
      <c r="I65" s="7" t="s">
        <v>51</v>
      </c>
      <c r="J65" s="7" t="n">
        <v>8</v>
      </c>
      <c r="K65" s="8" t="n">
        <v>1730</v>
      </c>
      <c r="L65" s="9" t="n">
        <v>0.1</v>
      </c>
      <c r="M65" s="8" t="n">
        <v>7059.52</v>
      </c>
      <c r="N65" s="8" t="n">
        <f aca="false">J65*K65*(1-L65)</f>
        <v>12456</v>
      </c>
      <c r="O65" s="8" t="n">
        <f aca="false">N65-M65</f>
        <v>5396.48</v>
      </c>
      <c r="P65" s="10" t="n">
        <f aca="false">IFERROR(O65/N65,0)</f>
        <v>0.433243416827232</v>
      </c>
      <c r="Q65" s="7" t="str">
        <f aca="false">TEXT(B65,"mmm")</f>
        <v>Oct</v>
      </c>
      <c r="R65" s="7" t="str">
        <f aca="false">TEXT(B65,"yyyy-mm")</f>
        <v>2024-10</v>
      </c>
    </row>
    <row r="66" customFormat="false" ht="15" hidden="false" customHeight="false" outlineLevel="0" collapsed="false">
      <c r="A66" s="7" t="s">
        <v>311</v>
      </c>
      <c r="B66" s="7" t="s">
        <v>312</v>
      </c>
      <c r="C66" s="7" t="s">
        <v>313</v>
      </c>
      <c r="D66" s="7" t="s">
        <v>314</v>
      </c>
      <c r="E66" s="7" t="s">
        <v>315</v>
      </c>
      <c r="F66" s="7" t="s">
        <v>64</v>
      </c>
      <c r="G66" s="7" t="s">
        <v>73</v>
      </c>
      <c r="H66" s="7" t="s">
        <v>211</v>
      </c>
      <c r="I66" s="7" t="s">
        <v>75</v>
      </c>
      <c r="J66" s="7" t="n">
        <v>1</v>
      </c>
      <c r="K66" s="8" t="n">
        <v>4059</v>
      </c>
      <c r="L66" s="9" t="n">
        <v>0.25</v>
      </c>
      <c r="M66" s="8" t="n">
        <v>2279.54</v>
      </c>
      <c r="N66" s="8" t="n">
        <f aca="false">J66*K66*(1-L66)</f>
        <v>3044.25</v>
      </c>
      <c r="O66" s="8" t="n">
        <f aca="false">N66-M66</f>
        <v>764.71</v>
      </c>
      <c r="P66" s="10" t="n">
        <f aca="false">IFERROR(O66/N66,0)</f>
        <v>0.251198160466453</v>
      </c>
      <c r="Q66" s="7" t="str">
        <f aca="false">TEXT(B66,"mmm")</f>
        <v>May</v>
      </c>
      <c r="R66" s="7" t="str">
        <f aca="false">TEXT(B66,"yyyy-mm")</f>
        <v>2024-05</v>
      </c>
    </row>
    <row r="67" customFormat="false" ht="15" hidden="false" customHeight="false" outlineLevel="0" collapsed="false">
      <c r="A67" s="7" t="s">
        <v>316</v>
      </c>
      <c r="B67" s="7" t="s">
        <v>317</v>
      </c>
      <c r="C67" s="7" t="s">
        <v>272</v>
      </c>
      <c r="D67" s="7" t="s">
        <v>149</v>
      </c>
      <c r="E67" s="7" t="s">
        <v>150</v>
      </c>
      <c r="F67" s="7" t="s">
        <v>88</v>
      </c>
      <c r="G67" s="7" t="s">
        <v>49</v>
      </c>
      <c r="H67" s="7" t="s">
        <v>100</v>
      </c>
      <c r="I67" s="7" t="s">
        <v>75</v>
      </c>
      <c r="J67" s="7" t="n">
        <v>5</v>
      </c>
      <c r="K67" s="8" t="n">
        <v>5219</v>
      </c>
      <c r="L67" s="9" t="n">
        <v>0.2</v>
      </c>
      <c r="M67" s="8" t="n">
        <v>17455.2</v>
      </c>
      <c r="N67" s="8" t="n">
        <f aca="false">J67*K67*(1-L67)</f>
        <v>20876</v>
      </c>
      <c r="O67" s="8" t="n">
        <f aca="false">N67-M67</f>
        <v>3420.8</v>
      </c>
      <c r="P67" s="10" t="n">
        <f aca="false">IFERROR(O67/N67,0)</f>
        <v>0.163862808967235</v>
      </c>
      <c r="Q67" s="7" t="str">
        <f aca="false">TEXT(B67,"mmm")</f>
        <v>Apr</v>
      </c>
      <c r="R67" s="7" t="str">
        <f aca="false">TEXT(B67,"yyyy-mm")</f>
        <v>2024-04</v>
      </c>
    </row>
    <row r="68" customFormat="false" ht="15" hidden="false" customHeight="false" outlineLevel="0" collapsed="false">
      <c r="A68" s="7" t="s">
        <v>318</v>
      </c>
      <c r="B68" s="7" t="s">
        <v>319</v>
      </c>
      <c r="C68" s="7" t="s">
        <v>320</v>
      </c>
      <c r="D68" s="7" t="s">
        <v>162</v>
      </c>
      <c r="E68" s="7" t="s">
        <v>163</v>
      </c>
      <c r="F68" s="7" t="s">
        <v>57</v>
      </c>
      <c r="G68" s="7" t="s">
        <v>49</v>
      </c>
      <c r="H68" s="7" t="s">
        <v>50</v>
      </c>
      <c r="I68" s="7" t="s">
        <v>51</v>
      </c>
      <c r="J68" s="7" t="n">
        <v>5</v>
      </c>
      <c r="K68" s="8" t="n">
        <v>4629</v>
      </c>
      <c r="L68" s="9" t="n">
        <v>0.05</v>
      </c>
      <c r="M68" s="8" t="n">
        <v>10150.85</v>
      </c>
      <c r="N68" s="8" t="n">
        <f aca="false">J68*K68*(1-L68)</f>
        <v>21987.75</v>
      </c>
      <c r="O68" s="8" t="n">
        <f aca="false">N68-M68</f>
        <v>11836.9</v>
      </c>
      <c r="P68" s="10" t="n">
        <f aca="false">IFERROR(O68/N68,0)</f>
        <v>0.538340666962286</v>
      </c>
      <c r="Q68" s="7" t="str">
        <f aca="false">TEXT(B68,"mmm")</f>
        <v>Feb</v>
      </c>
      <c r="R68" s="7" t="str">
        <f aca="false">TEXT(B68,"yyyy-mm")</f>
        <v>2024-02</v>
      </c>
    </row>
    <row r="69" customFormat="false" ht="15" hidden="false" customHeight="false" outlineLevel="0" collapsed="false">
      <c r="A69" s="7" t="s">
        <v>321</v>
      </c>
      <c r="B69" s="7" t="s">
        <v>322</v>
      </c>
      <c r="C69" s="7" t="s">
        <v>153</v>
      </c>
      <c r="D69" s="7" t="s">
        <v>162</v>
      </c>
      <c r="E69" s="7" t="s">
        <v>163</v>
      </c>
      <c r="F69" s="7" t="s">
        <v>57</v>
      </c>
      <c r="G69" s="7" t="s">
        <v>81</v>
      </c>
      <c r="H69" s="7" t="s">
        <v>186</v>
      </c>
      <c r="I69" s="7" t="s">
        <v>51</v>
      </c>
      <c r="J69" s="7" t="n">
        <v>2</v>
      </c>
      <c r="K69" s="8" t="n">
        <v>4629</v>
      </c>
      <c r="L69" s="9" t="n">
        <v>0.25</v>
      </c>
      <c r="M69" s="8" t="n">
        <v>4060.34</v>
      </c>
      <c r="N69" s="8" t="n">
        <f aca="false">J69*K69*(1-L69)</f>
        <v>6943.5</v>
      </c>
      <c r="O69" s="8" t="n">
        <f aca="false">N69-M69</f>
        <v>2883.16</v>
      </c>
      <c r="P69" s="10" t="n">
        <f aca="false">IFERROR(O69/N69,0)</f>
        <v>0.415231511485562</v>
      </c>
      <c r="Q69" s="7" t="str">
        <f aca="false">TEXT(B69,"mmm")</f>
        <v>Dec</v>
      </c>
      <c r="R69" s="7" t="str">
        <f aca="false">TEXT(B69,"yyyy-mm")</f>
        <v>2024-12</v>
      </c>
    </row>
    <row r="70" customFormat="false" ht="15" hidden="false" customHeight="false" outlineLevel="0" collapsed="false">
      <c r="A70" s="7" t="s">
        <v>323</v>
      </c>
      <c r="B70" s="7" t="s">
        <v>324</v>
      </c>
      <c r="C70" s="7" t="s">
        <v>325</v>
      </c>
      <c r="D70" s="7" t="s">
        <v>326</v>
      </c>
      <c r="E70" s="7" t="s">
        <v>327</v>
      </c>
      <c r="F70" s="7" t="s">
        <v>57</v>
      </c>
      <c r="G70" s="7" t="s">
        <v>81</v>
      </c>
      <c r="H70" s="7" t="s">
        <v>186</v>
      </c>
      <c r="I70" s="7" t="s">
        <v>75</v>
      </c>
      <c r="J70" s="7" t="n">
        <v>4</v>
      </c>
      <c r="K70" s="8" t="n">
        <v>5950</v>
      </c>
      <c r="L70" s="9" t="n">
        <v>0</v>
      </c>
      <c r="M70" s="8" t="n">
        <v>9667.76</v>
      </c>
      <c r="N70" s="8" t="n">
        <f aca="false">J70*K70*(1-L70)</f>
        <v>23800</v>
      </c>
      <c r="O70" s="8" t="n">
        <f aca="false">N70-M70</f>
        <v>14132.24</v>
      </c>
      <c r="P70" s="10" t="n">
        <f aca="false">IFERROR(O70/N70,0)</f>
        <v>0.593791596638655</v>
      </c>
      <c r="Q70" s="7" t="str">
        <f aca="false">TEXT(B70,"mmm")</f>
        <v>Mar</v>
      </c>
      <c r="R70" s="7" t="str">
        <f aca="false">TEXT(B70,"yyyy-mm")</f>
        <v>2024-03</v>
      </c>
    </row>
    <row r="71" customFormat="false" ht="15" hidden="false" customHeight="false" outlineLevel="0" collapsed="false">
      <c r="A71" s="7" t="s">
        <v>328</v>
      </c>
      <c r="B71" s="7" t="s">
        <v>329</v>
      </c>
      <c r="C71" s="7" t="s">
        <v>330</v>
      </c>
      <c r="D71" s="7" t="s">
        <v>144</v>
      </c>
      <c r="E71" s="7" t="s">
        <v>145</v>
      </c>
      <c r="F71" s="7" t="s">
        <v>48</v>
      </c>
      <c r="G71" s="7" t="s">
        <v>81</v>
      </c>
      <c r="H71" s="7" t="s">
        <v>186</v>
      </c>
      <c r="I71" s="7" t="s">
        <v>51</v>
      </c>
      <c r="J71" s="7" t="n">
        <v>4</v>
      </c>
      <c r="K71" s="8" t="n">
        <v>5149</v>
      </c>
      <c r="L71" s="9" t="n">
        <v>0.25</v>
      </c>
      <c r="M71" s="8" t="n">
        <v>8689.92</v>
      </c>
      <c r="N71" s="8" t="n">
        <f aca="false">J71*K71*(1-L71)</f>
        <v>15447</v>
      </c>
      <c r="O71" s="8" t="n">
        <f aca="false">N71-M71</f>
        <v>6757.08</v>
      </c>
      <c r="P71" s="10" t="n">
        <f aca="false">IFERROR(O71/N71,0)</f>
        <v>0.437436395416586</v>
      </c>
      <c r="Q71" s="7" t="str">
        <f aca="false">TEXT(B71,"mmm")</f>
        <v>Sep</v>
      </c>
      <c r="R71" s="7" t="str">
        <f aca="false">TEXT(B71,"yyyy-mm")</f>
        <v>2024-09</v>
      </c>
    </row>
    <row r="72" customFormat="false" ht="15" hidden="false" customHeight="false" outlineLevel="0" collapsed="false">
      <c r="A72" s="7" t="s">
        <v>331</v>
      </c>
      <c r="B72" s="7" t="s">
        <v>332</v>
      </c>
      <c r="C72" s="7" t="s">
        <v>269</v>
      </c>
      <c r="D72" s="7" t="s">
        <v>119</v>
      </c>
      <c r="E72" s="7" t="s">
        <v>120</v>
      </c>
      <c r="F72" s="7" t="s">
        <v>88</v>
      </c>
      <c r="G72" s="7" t="s">
        <v>81</v>
      </c>
      <c r="H72" s="7" t="s">
        <v>237</v>
      </c>
      <c r="I72" s="7" t="s">
        <v>75</v>
      </c>
      <c r="J72" s="7" t="n">
        <v>2</v>
      </c>
      <c r="K72" s="8" t="n">
        <v>620</v>
      </c>
      <c r="L72" s="9" t="n">
        <v>0</v>
      </c>
      <c r="M72" s="8" t="n">
        <v>909.1</v>
      </c>
      <c r="N72" s="8" t="n">
        <f aca="false">J72*K72*(1-L72)</f>
        <v>1240</v>
      </c>
      <c r="O72" s="8" t="n">
        <f aca="false">N72-M72</f>
        <v>330.9</v>
      </c>
      <c r="P72" s="10" t="n">
        <f aca="false">IFERROR(O72/N72,0)</f>
        <v>0.266854838709677</v>
      </c>
      <c r="Q72" s="7" t="str">
        <f aca="false">TEXT(B72,"mmm")</f>
        <v>Jun</v>
      </c>
      <c r="R72" s="7" t="str">
        <f aca="false">TEXT(B72,"yyyy-mm")</f>
        <v>2024-06</v>
      </c>
    </row>
    <row r="73" customFormat="false" ht="15" hidden="false" customHeight="false" outlineLevel="0" collapsed="false">
      <c r="A73" s="7" t="s">
        <v>333</v>
      </c>
      <c r="B73" s="7" t="s">
        <v>334</v>
      </c>
      <c r="C73" s="7" t="s">
        <v>335</v>
      </c>
      <c r="D73" s="7" t="s">
        <v>140</v>
      </c>
      <c r="E73" s="7" t="s">
        <v>141</v>
      </c>
      <c r="F73" s="7" t="s">
        <v>57</v>
      </c>
      <c r="G73" s="7" t="s">
        <v>336</v>
      </c>
      <c r="H73" s="7" t="s">
        <v>336</v>
      </c>
      <c r="I73" s="7" t="s">
        <v>51</v>
      </c>
      <c r="J73" s="7" t="n">
        <v>3</v>
      </c>
      <c r="K73" s="8" t="n">
        <v>1440</v>
      </c>
      <c r="L73" s="9" t="n">
        <v>0</v>
      </c>
      <c r="M73" s="8" t="n">
        <v>2911.17</v>
      </c>
      <c r="N73" s="8" t="n">
        <f aca="false">J73*K73*(1-L73)</f>
        <v>4320</v>
      </c>
      <c r="O73" s="8" t="n">
        <f aca="false">N73-M73</f>
        <v>1408.83</v>
      </c>
      <c r="P73" s="10" t="n">
        <f aca="false">IFERROR(O73/N73,0)</f>
        <v>0.326118055555556</v>
      </c>
      <c r="Q73" s="7" t="str">
        <f aca="false">TEXT(B73,"mmm")</f>
        <v>Jun</v>
      </c>
      <c r="R73" s="7" t="str">
        <f aca="false">TEXT(B73,"yyyy-mm")</f>
        <v>2024-06</v>
      </c>
    </row>
    <row r="74" customFormat="false" ht="15" hidden="false" customHeight="false" outlineLevel="0" collapsed="false">
      <c r="A74" s="7" t="s">
        <v>337</v>
      </c>
      <c r="B74" s="7" t="s">
        <v>338</v>
      </c>
      <c r="C74" s="7" t="s">
        <v>339</v>
      </c>
      <c r="D74" s="7" t="s">
        <v>104</v>
      </c>
      <c r="E74" s="7" t="s">
        <v>105</v>
      </c>
      <c r="F74" s="7" t="s">
        <v>48</v>
      </c>
      <c r="G74" s="7" t="s">
        <v>73</v>
      </c>
      <c r="H74" s="7" t="s">
        <v>211</v>
      </c>
      <c r="I74" s="7" t="s">
        <v>51</v>
      </c>
      <c r="J74" s="7" t="n">
        <v>5</v>
      </c>
      <c r="K74" s="8" t="n">
        <v>2000</v>
      </c>
      <c r="L74" s="9" t="n">
        <v>0</v>
      </c>
      <c r="M74" s="8" t="n">
        <v>4356.5</v>
      </c>
      <c r="N74" s="8" t="n">
        <f aca="false">J74*K74*(1-L74)</f>
        <v>10000</v>
      </c>
      <c r="O74" s="8" t="n">
        <f aca="false">N74-M74</f>
        <v>5643.5</v>
      </c>
      <c r="P74" s="10" t="n">
        <f aca="false">IFERROR(O74/N74,0)</f>
        <v>0.56435</v>
      </c>
      <c r="Q74" s="7" t="str">
        <f aca="false">TEXT(B74,"mmm")</f>
        <v>Feb</v>
      </c>
      <c r="R74" s="7" t="str">
        <f aca="false">TEXT(B74,"yyyy-mm")</f>
        <v>2024-02</v>
      </c>
    </row>
    <row r="75" customFormat="false" ht="15" hidden="false" customHeight="false" outlineLevel="0" collapsed="false">
      <c r="A75" s="7" t="s">
        <v>340</v>
      </c>
      <c r="B75" s="7" t="s">
        <v>341</v>
      </c>
      <c r="C75" s="7" t="s">
        <v>342</v>
      </c>
      <c r="D75" s="7" t="s">
        <v>343</v>
      </c>
      <c r="E75" s="7" t="s">
        <v>344</v>
      </c>
      <c r="F75" s="7" t="s">
        <v>88</v>
      </c>
      <c r="G75" s="7" t="s">
        <v>73</v>
      </c>
      <c r="H75" s="7" t="s">
        <v>211</v>
      </c>
      <c r="I75" s="7" t="s">
        <v>51</v>
      </c>
      <c r="J75" s="7" t="n">
        <v>3</v>
      </c>
      <c r="K75" s="8" t="n">
        <v>2169</v>
      </c>
      <c r="L75" s="9" t="n">
        <v>0.05</v>
      </c>
      <c r="M75" s="8" t="n">
        <v>4481.7</v>
      </c>
      <c r="N75" s="8" t="n">
        <f aca="false">J75*K75*(1-L75)</f>
        <v>6181.65</v>
      </c>
      <c r="O75" s="8" t="n">
        <f aca="false">N75-M75</f>
        <v>1699.95</v>
      </c>
      <c r="P75" s="10" t="n">
        <f aca="false">IFERROR(O75/N75,0)</f>
        <v>0.274999393365849</v>
      </c>
      <c r="Q75" s="7" t="str">
        <f aca="false">TEXT(B75,"mmm")</f>
        <v>Oct</v>
      </c>
      <c r="R75" s="7" t="str">
        <f aca="false">TEXT(B75,"yyyy-mm")</f>
        <v>2024-10</v>
      </c>
    </row>
    <row r="76" customFormat="false" ht="15" hidden="false" customHeight="false" outlineLevel="0" collapsed="false">
      <c r="A76" s="7" t="s">
        <v>345</v>
      </c>
      <c r="B76" s="7" t="s">
        <v>346</v>
      </c>
      <c r="C76" s="7" t="s">
        <v>347</v>
      </c>
      <c r="D76" s="7" t="s">
        <v>197</v>
      </c>
      <c r="E76" s="7" t="s">
        <v>198</v>
      </c>
      <c r="F76" s="7" t="s">
        <v>64</v>
      </c>
      <c r="G76" s="7" t="s">
        <v>73</v>
      </c>
      <c r="H76" s="7" t="s">
        <v>74</v>
      </c>
      <c r="I76" s="7" t="s">
        <v>75</v>
      </c>
      <c r="J76" s="7" t="n">
        <v>4</v>
      </c>
      <c r="K76" s="8" t="n">
        <v>2910</v>
      </c>
      <c r="L76" s="9" t="n">
        <v>0.1</v>
      </c>
      <c r="M76" s="8" t="n">
        <v>5360.64</v>
      </c>
      <c r="N76" s="8" t="n">
        <f aca="false">J76*K76*(1-L76)</f>
        <v>10476</v>
      </c>
      <c r="O76" s="8" t="n">
        <f aca="false">N76-M76</f>
        <v>5115.36</v>
      </c>
      <c r="P76" s="10" t="n">
        <f aca="false">IFERROR(O76/N76,0)</f>
        <v>0.488293241695304</v>
      </c>
      <c r="Q76" s="7" t="str">
        <f aca="false">TEXT(B76,"mmm")</f>
        <v>Apr</v>
      </c>
      <c r="R76" s="7" t="str">
        <f aca="false">TEXT(B76,"yyyy-mm")</f>
        <v>2024-04</v>
      </c>
    </row>
    <row r="77" customFormat="false" ht="15" hidden="false" customHeight="false" outlineLevel="0" collapsed="false">
      <c r="A77" s="7" t="s">
        <v>348</v>
      </c>
      <c r="B77" s="7" t="s">
        <v>133</v>
      </c>
      <c r="C77" s="7" t="s">
        <v>349</v>
      </c>
      <c r="D77" s="7" t="s">
        <v>144</v>
      </c>
      <c r="E77" s="7" t="s">
        <v>145</v>
      </c>
      <c r="F77" s="7" t="s">
        <v>48</v>
      </c>
      <c r="G77" s="7" t="s">
        <v>81</v>
      </c>
      <c r="H77" s="7" t="s">
        <v>109</v>
      </c>
      <c r="I77" s="7" t="s">
        <v>75</v>
      </c>
      <c r="J77" s="7" t="n">
        <v>4</v>
      </c>
      <c r="K77" s="8" t="n">
        <v>5149</v>
      </c>
      <c r="L77" s="9" t="n">
        <v>0.1</v>
      </c>
      <c r="M77" s="8" t="n">
        <v>8689.92</v>
      </c>
      <c r="N77" s="8" t="n">
        <f aca="false">J77*K77*(1-L77)</f>
        <v>18536.4</v>
      </c>
      <c r="O77" s="8" t="n">
        <f aca="false">N77-M77</f>
        <v>9846.48</v>
      </c>
      <c r="P77" s="10" t="n">
        <f aca="false">IFERROR(O77/N77,0)</f>
        <v>0.531196996180488</v>
      </c>
      <c r="Q77" s="7" t="str">
        <f aca="false">TEXT(B77,"mmm")</f>
        <v>Sep</v>
      </c>
      <c r="R77" s="7" t="str">
        <f aca="false">TEXT(B77,"yyyy-mm")</f>
        <v>2024-09</v>
      </c>
    </row>
    <row r="78" customFormat="false" ht="15" hidden="false" customHeight="false" outlineLevel="0" collapsed="false">
      <c r="A78" s="7" t="s">
        <v>350</v>
      </c>
      <c r="B78" s="7" t="s">
        <v>242</v>
      </c>
      <c r="C78" s="7" t="s">
        <v>256</v>
      </c>
      <c r="D78" s="7" t="s">
        <v>104</v>
      </c>
      <c r="E78" s="7" t="s">
        <v>105</v>
      </c>
      <c r="F78" s="7" t="s">
        <v>48</v>
      </c>
      <c r="G78" s="7" t="s">
        <v>81</v>
      </c>
      <c r="H78" s="7" t="s">
        <v>109</v>
      </c>
      <c r="I78" s="7" t="s">
        <v>51</v>
      </c>
      <c r="J78" s="7" t="n">
        <v>3</v>
      </c>
      <c r="K78" s="8" t="n">
        <v>2000</v>
      </c>
      <c r="L78" s="9" t="n">
        <v>0</v>
      </c>
      <c r="M78" s="8" t="n">
        <v>2613.9</v>
      </c>
      <c r="N78" s="8" t="n">
        <f aca="false">J78*K78*(1-L78)</f>
        <v>6000</v>
      </c>
      <c r="O78" s="8" t="n">
        <f aca="false">N78-M78</f>
        <v>3386.1</v>
      </c>
      <c r="P78" s="10" t="n">
        <f aca="false">IFERROR(O78/N78,0)</f>
        <v>0.56435</v>
      </c>
      <c r="Q78" s="7" t="str">
        <f aca="false">TEXT(B78,"mmm")</f>
        <v>Mar</v>
      </c>
      <c r="R78" s="7" t="str">
        <f aca="false">TEXT(B78,"yyyy-mm")</f>
        <v>2024-03</v>
      </c>
    </row>
    <row r="79" customFormat="false" ht="15" hidden="false" customHeight="false" outlineLevel="0" collapsed="false">
      <c r="A79" s="7" t="s">
        <v>351</v>
      </c>
      <c r="B79" s="7" t="s">
        <v>352</v>
      </c>
      <c r="C79" s="7" t="s">
        <v>353</v>
      </c>
      <c r="D79" s="7" t="s">
        <v>95</v>
      </c>
      <c r="E79" s="7" t="s">
        <v>96</v>
      </c>
      <c r="F79" s="7" t="s">
        <v>48</v>
      </c>
      <c r="G79" s="7" t="s">
        <v>49</v>
      </c>
      <c r="H79" s="7" t="s">
        <v>172</v>
      </c>
      <c r="I79" s="7" t="s">
        <v>51</v>
      </c>
      <c r="J79" s="7" t="n">
        <v>3</v>
      </c>
      <c r="K79" s="8" t="n">
        <v>5529</v>
      </c>
      <c r="L79" s="9" t="n">
        <v>0</v>
      </c>
      <c r="M79" s="8" t="n">
        <v>9348.78</v>
      </c>
      <c r="N79" s="8" t="n">
        <f aca="false">J79*K79*(1-L79)</f>
        <v>16587</v>
      </c>
      <c r="O79" s="8" t="n">
        <f aca="false">N79-M79</f>
        <v>7238.22</v>
      </c>
      <c r="P79" s="10" t="n">
        <f aca="false">IFERROR(O79/N79,0)</f>
        <v>0.436379092060047</v>
      </c>
      <c r="Q79" s="7" t="str">
        <f aca="false">TEXT(B79,"mmm")</f>
        <v>Jan</v>
      </c>
      <c r="R79" s="7" t="str">
        <f aca="false">TEXT(B79,"yyyy-mm")</f>
        <v>2024-01</v>
      </c>
    </row>
    <row r="80" customFormat="false" ht="15" hidden="false" customHeight="false" outlineLevel="0" collapsed="false">
      <c r="A80" s="7" t="s">
        <v>354</v>
      </c>
      <c r="B80" s="7" t="s">
        <v>355</v>
      </c>
      <c r="C80" s="7" t="s">
        <v>349</v>
      </c>
      <c r="D80" s="7" t="s">
        <v>46</v>
      </c>
      <c r="E80" s="7" t="s">
        <v>47</v>
      </c>
      <c r="F80" s="7" t="s">
        <v>48</v>
      </c>
      <c r="G80" s="7" t="s">
        <v>65</v>
      </c>
      <c r="H80" s="7" t="s">
        <v>126</v>
      </c>
      <c r="I80" s="7" t="s">
        <v>75</v>
      </c>
      <c r="J80" s="7" t="n">
        <v>4</v>
      </c>
      <c r="K80" s="8" t="n">
        <v>4349</v>
      </c>
      <c r="L80" s="9" t="n">
        <v>0.05</v>
      </c>
      <c r="M80" s="8" t="n">
        <v>9955.08</v>
      </c>
      <c r="N80" s="8" t="n">
        <f aca="false">J80*K80*(1-L80)</f>
        <v>16526.2</v>
      </c>
      <c r="O80" s="8" t="n">
        <f aca="false">N80-M80</f>
        <v>6571.12</v>
      </c>
      <c r="P80" s="10" t="n">
        <f aca="false">IFERROR(O80/N80,0)</f>
        <v>0.397618327262166</v>
      </c>
      <c r="Q80" s="7" t="str">
        <f aca="false">TEXT(B80,"mmm")</f>
        <v>Dec</v>
      </c>
      <c r="R80" s="7" t="str">
        <f aca="false">TEXT(B80,"yyyy-mm")</f>
        <v>2024-12</v>
      </c>
    </row>
    <row r="81" customFormat="false" ht="15" hidden="false" customHeight="false" outlineLevel="0" collapsed="false">
      <c r="A81" s="7" t="s">
        <v>356</v>
      </c>
      <c r="B81" s="7" t="s">
        <v>357</v>
      </c>
      <c r="C81" s="7" t="s">
        <v>134</v>
      </c>
      <c r="D81" s="7" t="s">
        <v>215</v>
      </c>
      <c r="E81" s="7" t="s">
        <v>216</v>
      </c>
      <c r="F81" s="7" t="s">
        <v>57</v>
      </c>
      <c r="G81" s="7" t="s">
        <v>65</v>
      </c>
      <c r="H81" s="7" t="s">
        <v>126</v>
      </c>
      <c r="I81" s="7" t="s">
        <v>51</v>
      </c>
      <c r="J81" s="7" t="n">
        <v>2</v>
      </c>
      <c r="K81" s="8" t="n">
        <v>3749</v>
      </c>
      <c r="L81" s="9" t="n">
        <v>0.15</v>
      </c>
      <c r="M81" s="8" t="n">
        <v>5723.18</v>
      </c>
      <c r="N81" s="8" t="n">
        <f aca="false">J81*K81*(1-L81)</f>
        <v>6373.3</v>
      </c>
      <c r="O81" s="8" t="n">
        <f aca="false">N81-M81</f>
        <v>650.12</v>
      </c>
      <c r="P81" s="10" t="n">
        <f aca="false">IFERROR(O81/N81,0)</f>
        <v>0.102006809659046</v>
      </c>
      <c r="Q81" s="7" t="str">
        <f aca="false">TEXT(B81,"mmm")</f>
        <v>Aug</v>
      </c>
      <c r="R81" s="7" t="str">
        <f aca="false">TEXT(B81,"yyyy-mm")</f>
        <v>2024-08</v>
      </c>
    </row>
    <row r="82" customFormat="false" ht="15" hidden="false" customHeight="false" outlineLevel="0" collapsed="false">
      <c r="A82" s="7" t="s">
        <v>358</v>
      </c>
      <c r="B82" s="7" t="s">
        <v>128</v>
      </c>
      <c r="C82" s="7" t="s">
        <v>359</v>
      </c>
      <c r="D82" s="7" t="s">
        <v>360</v>
      </c>
      <c r="E82" s="7" t="s">
        <v>361</v>
      </c>
      <c r="F82" s="7" t="s">
        <v>48</v>
      </c>
      <c r="G82" s="7" t="s">
        <v>49</v>
      </c>
      <c r="H82" s="7" t="s">
        <v>100</v>
      </c>
      <c r="I82" s="7" t="s">
        <v>75</v>
      </c>
      <c r="J82" s="7" t="n">
        <v>3</v>
      </c>
      <c r="K82" s="8" t="n">
        <v>679</v>
      </c>
      <c r="L82" s="9" t="n">
        <v>0</v>
      </c>
      <c r="M82" s="8" t="n">
        <v>1382.1</v>
      </c>
      <c r="N82" s="8" t="n">
        <f aca="false">J82*K82*(1-L82)</f>
        <v>2037</v>
      </c>
      <c r="O82" s="8" t="n">
        <f aca="false">N82-M82</f>
        <v>654.9</v>
      </c>
      <c r="P82" s="10" t="n">
        <f aca="false">IFERROR(O82/N82,0)</f>
        <v>0.321502209131075</v>
      </c>
      <c r="Q82" s="7" t="str">
        <f aca="false">TEXT(B82,"mmm")</f>
        <v>Aug</v>
      </c>
      <c r="R82" s="7" t="str">
        <f aca="false">TEXT(B82,"yyyy-mm")</f>
        <v>2024-08</v>
      </c>
    </row>
    <row r="83" customFormat="false" ht="15" hidden="false" customHeight="false" outlineLevel="0" collapsed="false">
      <c r="A83" s="7" t="s">
        <v>362</v>
      </c>
      <c r="B83" s="7" t="s">
        <v>363</v>
      </c>
      <c r="C83" s="7" t="s">
        <v>364</v>
      </c>
      <c r="D83" s="7" t="s">
        <v>149</v>
      </c>
      <c r="E83" s="7" t="s">
        <v>150</v>
      </c>
      <c r="F83" s="7" t="s">
        <v>88</v>
      </c>
      <c r="G83" s="7" t="s">
        <v>73</v>
      </c>
      <c r="H83" s="7" t="s">
        <v>211</v>
      </c>
      <c r="I83" s="7" t="s">
        <v>51</v>
      </c>
      <c r="J83" s="7" t="n">
        <v>1</v>
      </c>
      <c r="K83" s="8" t="n">
        <v>5219</v>
      </c>
      <c r="L83" s="9" t="n">
        <v>0.2</v>
      </c>
      <c r="M83" s="8" t="n">
        <v>3491.04</v>
      </c>
      <c r="N83" s="8" t="n">
        <f aca="false">J83*K83*(1-L83)</f>
        <v>4175.2</v>
      </c>
      <c r="O83" s="8" t="n">
        <f aca="false">N83-M83</f>
        <v>684.16</v>
      </c>
      <c r="P83" s="10" t="n">
        <f aca="false">IFERROR(O83/N83,0)</f>
        <v>0.163862808967235</v>
      </c>
      <c r="Q83" s="7" t="str">
        <f aca="false">TEXT(B83,"mmm")</f>
        <v>Jun</v>
      </c>
      <c r="R83" s="7" t="str">
        <f aca="false">TEXT(B83,"yyyy-mm")</f>
        <v>2024-06</v>
      </c>
    </row>
    <row r="84" customFormat="false" ht="15" hidden="false" customHeight="false" outlineLevel="0" collapsed="false">
      <c r="A84" s="7" t="s">
        <v>365</v>
      </c>
      <c r="B84" s="7" t="s">
        <v>366</v>
      </c>
      <c r="C84" s="7" t="s">
        <v>78</v>
      </c>
      <c r="D84" s="7" t="s">
        <v>46</v>
      </c>
      <c r="E84" s="7" t="s">
        <v>47</v>
      </c>
      <c r="F84" s="7" t="s">
        <v>48</v>
      </c>
      <c r="G84" s="7" t="s">
        <v>73</v>
      </c>
      <c r="H84" s="7" t="s">
        <v>266</v>
      </c>
      <c r="I84" s="7" t="s">
        <v>75</v>
      </c>
      <c r="J84" s="7" t="n">
        <v>1</v>
      </c>
      <c r="K84" s="8" t="n">
        <v>4349</v>
      </c>
      <c r="L84" s="9" t="n">
        <v>0.1</v>
      </c>
      <c r="M84" s="8" t="n">
        <v>2488.77</v>
      </c>
      <c r="N84" s="8" t="n">
        <f aca="false">J84*K84*(1-L84)</f>
        <v>3914.1</v>
      </c>
      <c r="O84" s="8" t="n">
        <f aca="false">N84-M84</f>
        <v>1425.33</v>
      </c>
      <c r="P84" s="10" t="n">
        <f aca="false">IFERROR(O84/N84,0)</f>
        <v>0.36415267877673</v>
      </c>
      <c r="Q84" s="7" t="str">
        <f aca="false">TEXT(B84,"mmm")</f>
        <v>Sep</v>
      </c>
      <c r="R84" s="7" t="str">
        <f aca="false">TEXT(B84,"yyyy-mm")</f>
        <v>2024-09</v>
      </c>
    </row>
    <row r="85" customFormat="false" ht="15" hidden="false" customHeight="false" outlineLevel="0" collapsed="false">
      <c r="A85" s="7" t="s">
        <v>367</v>
      </c>
      <c r="B85" s="7" t="s">
        <v>84</v>
      </c>
      <c r="C85" s="7" t="s">
        <v>368</v>
      </c>
      <c r="D85" s="7" t="s">
        <v>95</v>
      </c>
      <c r="E85" s="7" t="s">
        <v>96</v>
      </c>
      <c r="F85" s="7" t="s">
        <v>48</v>
      </c>
      <c r="G85" s="7" t="s">
        <v>49</v>
      </c>
      <c r="H85" s="7" t="s">
        <v>50</v>
      </c>
      <c r="I85" s="7" t="s">
        <v>51</v>
      </c>
      <c r="J85" s="7" t="n">
        <v>5</v>
      </c>
      <c r="K85" s="8" t="n">
        <v>5529</v>
      </c>
      <c r="L85" s="9" t="n">
        <v>0.2</v>
      </c>
      <c r="M85" s="8" t="n">
        <v>15581.3</v>
      </c>
      <c r="N85" s="8" t="n">
        <f aca="false">J85*K85*(1-L85)</f>
        <v>22116</v>
      </c>
      <c r="O85" s="8" t="n">
        <f aca="false">N85-M85</f>
        <v>6534.7</v>
      </c>
      <c r="P85" s="10" t="n">
        <f aca="false">IFERROR(O85/N85,0)</f>
        <v>0.295473865075059</v>
      </c>
      <c r="Q85" s="7" t="str">
        <f aca="false">TEXT(B85,"mmm")</f>
        <v>Apr</v>
      </c>
      <c r="R85" s="7" t="str">
        <f aca="false">TEXT(B85,"yyyy-mm")</f>
        <v>2024-04</v>
      </c>
    </row>
    <row r="86" customFormat="false" ht="15" hidden="false" customHeight="false" outlineLevel="0" collapsed="false">
      <c r="A86" s="7" t="s">
        <v>369</v>
      </c>
      <c r="B86" s="7" t="s">
        <v>363</v>
      </c>
      <c r="C86" s="7" t="s">
        <v>370</v>
      </c>
      <c r="D86" s="7" t="s">
        <v>295</v>
      </c>
      <c r="E86" s="7" t="s">
        <v>296</v>
      </c>
      <c r="F86" s="7" t="s">
        <v>64</v>
      </c>
      <c r="G86" s="7" t="s">
        <v>49</v>
      </c>
      <c r="H86" s="7" t="s">
        <v>100</v>
      </c>
      <c r="I86" s="7" t="s">
        <v>51</v>
      </c>
      <c r="J86" s="7" t="n">
        <v>2</v>
      </c>
      <c r="K86" s="8" t="n">
        <v>1249</v>
      </c>
      <c r="L86" s="9" t="n">
        <v>0.15</v>
      </c>
      <c r="M86" s="8" t="n">
        <v>1834.62</v>
      </c>
      <c r="N86" s="8" t="n">
        <f aca="false">J86*K86*(1-L86)</f>
        <v>2123.3</v>
      </c>
      <c r="O86" s="8" t="n">
        <f aca="false">N86-M86</f>
        <v>288.68</v>
      </c>
      <c r="P86" s="10" t="n">
        <f aca="false">IFERROR(O86/N86,0)</f>
        <v>0.135958178307352</v>
      </c>
      <c r="Q86" s="7" t="str">
        <f aca="false">TEXT(B86,"mmm")</f>
        <v>Jun</v>
      </c>
      <c r="R86" s="7" t="str">
        <f aca="false">TEXT(B86,"yyyy-mm")</f>
        <v>2024-06</v>
      </c>
    </row>
    <row r="87" customFormat="false" ht="15" hidden="false" customHeight="false" outlineLevel="0" collapsed="false">
      <c r="A87" s="7" t="s">
        <v>371</v>
      </c>
      <c r="B87" s="7" t="s">
        <v>372</v>
      </c>
      <c r="C87" s="7" t="s">
        <v>373</v>
      </c>
      <c r="D87" s="7" t="s">
        <v>176</v>
      </c>
      <c r="E87" s="7" t="s">
        <v>177</v>
      </c>
      <c r="F87" s="7" t="s">
        <v>72</v>
      </c>
      <c r="G87" s="7" t="s">
        <v>49</v>
      </c>
      <c r="H87" s="7" t="s">
        <v>172</v>
      </c>
      <c r="I87" s="7" t="s">
        <v>75</v>
      </c>
      <c r="J87" s="7" t="n">
        <v>8</v>
      </c>
      <c r="K87" s="8" t="n">
        <v>3969</v>
      </c>
      <c r="L87" s="9" t="n">
        <v>0.2</v>
      </c>
      <c r="M87" s="8" t="n">
        <v>17183.76</v>
      </c>
      <c r="N87" s="8" t="n">
        <f aca="false">J87*K87*(1-L87)</f>
        <v>25401.6</v>
      </c>
      <c r="O87" s="8" t="n">
        <f aca="false">N87-M87</f>
        <v>8217.84</v>
      </c>
      <c r="P87" s="10" t="n">
        <f aca="false">IFERROR(O87/N87,0)</f>
        <v>0.323516628873772</v>
      </c>
      <c r="Q87" s="7" t="str">
        <f aca="false">TEXT(B87,"mmm")</f>
        <v>Nov</v>
      </c>
      <c r="R87" s="7" t="str">
        <f aca="false">TEXT(B87,"yyyy-mm")</f>
        <v>2024-11</v>
      </c>
    </row>
    <row r="88" customFormat="false" ht="15" hidden="false" customHeight="false" outlineLevel="0" collapsed="false">
      <c r="A88" s="7" t="s">
        <v>374</v>
      </c>
      <c r="B88" s="7" t="s">
        <v>375</v>
      </c>
      <c r="C88" s="7" t="s">
        <v>307</v>
      </c>
      <c r="D88" s="7" t="s">
        <v>260</v>
      </c>
      <c r="E88" s="7" t="s">
        <v>261</v>
      </c>
      <c r="F88" s="7" t="s">
        <v>72</v>
      </c>
      <c r="G88" s="7" t="s">
        <v>73</v>
      </c>
      <c r="H88" s="7" t="s">
        <v>211</v>
      </c>
      <c r="I88" s="7" t="s">
        <v>51</v>
      </c>
      <c r="J88" s="7" t="n">
        <v>10</v>
      </c>
      <c r="K88" s="8" t="n">
        <v>4879</v>
      </c>
      <c r="L88" s="9" t="n">
        <v>0</v>
      </c>
      <c r="M88" s="8" t="n">
        <v>24337.3</v>
      </c>
      <c r="N88" s="8" t="n">
        <f aca="false">J88*K88*(1-L88)</f>
        <v>48790</v>
      </c>
      <c r="O88" s="8" t="n">
        <f aca="false">N88-M88</f>
        <v>24452.7</v>
      </c>
      <c r="P88" s="10" t="n">
        <f aca="false">IFERROR(O88/N88,0)</f>
        <v>0.501182619389219</v>
      </c>
      <c r="Q88" s="7" t="str">
        <f aca="false">TEXT(B88,"mmm")</f>
        <v>Nov</v>
      </c>
      <c r="R88" s="7" t="str">
        <f aca="false">TEXT(B88,"yyyy-mm")</f>
        <v>2024-11</v>
      </c>
    </row>
    <row r="89" customFormat="false" ht="15" hidden="false" customHeight="false" outlineLevel="0" collapsed="false">
      <c r="A89" s="7" t="s">
        <v>376</v>
      </c>
      <c r="B89" s="7" t="s">
        <v>377</v>
      </c>
      <c r="C89" s="7" t="s">
        <v>378</v>
      </c>
      <c r="D89" s="7" t="s">
        <v>124</v>
      </c>
      <c r="E89" s="7" t="s">
        <v>125</v>
      </c>
      <c r="F89" s="7" t="s">
        <v>64</v>
      </c>
      <c r="G89" s="7" t="s">
        <v>81</v>
      </c>
      <c r="H89" s="7" t="s">
        <v>109</v>
      </c>
      <c r="I89" s="7" t="s">
        <v>51</v>
      </c>
      <c r="J89" s="7" t="n">
        <v>5</v>
      </c>
      <c r="K89" s="8" t="n">
        <v>1349</v>
      </c>
      <c r="L89" s="9" t="n">
        <v>0.05</v>
      </c>
      <c r="M89" s="8" t="n">
        <v>3487</v>
      </c>
      <c r="N89" s="8" t="n">
        <f aca="false">J89*K89*(1-L89)</f>
        <v>6407.75</v>
      </c>
      <c r="O89" s="8" t="n">
        <f aca="false">N89-M89</f>
        <v>2920.75</v>
      </c>
      <c r="P89" s="10" t="n">
        <f aca="false">IFERROR(O89/N89,0)</f>
        <v>0.455815223752487</v>
      </c>
      <c r="Q89" s="7" t="str">
        <f aca="false">TEXT(B89,"mmm")</f>
        <v>Nov</v>
      </c>
      <c r="R89" s="7" t="str">
        <f aca="false">TEXT(B89,"yyyy-mm")</f>
        <v>2024-11</v>
      </c>
    </row>
    <row r="90" customFormat="false" ht="15" hidden="false" customHeight="false" outlineLevel="0" collapsed="false">
      <c r="A90" s="7" t="s">
        <v>379</v>
      </c>
      <c r="B90" s="7" t="s">
        <v>380</v>
      </c>
      <c r="C90" s="7" t="s">
        <v>347</v>
      </c>
      <c r="D90" s="7" t="s">
        <v>70</v>
      </c>
      <c r="E90" s="7" t="s">
        <v>71</v>
      </c>
      <c r="F90" s="7" t="s">
        <v>72</v>
      </c>
      <c r="G90" s="7" t="s">
        <v>73</v>
      </c>
      <c r="H90" s="7" t="s">
        <v>211</v>
      </c>
      <c r="I90" s="7" t="s">
        <v>75</v>
      </c>
      <c r="J90" s="7" t="n">
        <v>5</v>
      </c>
      <c r="K90" s="8" t="n">
        <v>3059</v>
      </c>
      <c r="L90" s="9" t="n">
        <v>0.2</v>
      </c>
      <c r="M90" s="8" t="n">
        <v>8032.3</v>
      </c>
      <c r="N90" s="8" t="n">
        <f aca="false">J90*K90*(1-L90)</f>
        <v>12236</v>
      </c>
      <c r="O90" s="8" t="n">
        <f aca="false">N90-M90</f>
        <v>4203.7</v>
      </c>
      <c r="P90" s="10" t="n">
        <f aca="false">IFERROR(O90/N90,0)</f>
        <v>0.343551814318405</v>
      </c>
      <c r="Q90" s="7" t="str">
        <f aca="false">TEXT(B90,"mmm")</f>
        <v>Feb</v>
      </c>
      <c r="R90" s="7" t="str">
        <f aca="false">TEXT(B90,"yyyy-mm")</f>
        <v>2024-02</v>
      </c>
    </row>
    <row r="91" customFormat="false" ht="15" hidden="false" customHeight="false" outlineLevel="0" collapsed="false">
      <c r="A91" s="7" t="s">
        <v>381</v>
      </c>
      <c r="B91" s="7" t="s">
        <v>382</v>
      </c>
      <c r="C91" s="7" t="s">
        <v>383</v>
      </c>
      <c r="D91" s="7" t="s">
        <v>326</v>
      </c>
      <c r="E91" s="7" t="s">
        <v>327</v>
      </c>
      <c r="F91" s="7" t="s">
        <v>57</v>
      </c>
      <c r="G91" s="7" t="s">
        <v>49</v>
      </c>
      <c r="H91" s="7" t="s">
        <v>172</v>
      </c>
      <c r="I91" s="7" t="s">
        <v>75</v>
      </c>
      <c r="J91" s="7" t="n">
        <v>5</v>
      </c>
      <c r="K91" s="8" t="n">
        <v>5950</v>
      </c>
      <c r="L91" s="9" t="n">
        <v>0.2</v>
      </c>
      <c r="M91" s="8" t="n">
        <v>12084.7</v>
      </c>
      <c r="N91" s="8" t="n">
        <f aca="false">J91*K91*(1-L91)</f>
        <v>23800</v>
      </c>
      <c r="O91" s="8" t="n">
        <f aca="false">N91-M91</f>
        <v>11715.3</v>
      </c>
      <c r="P91" s="10" t="n">
        <f aca="false">IFERROR(O91/N91,0)</f>
        <v>0.492239495798319</v>
      </c>
      <c r="Q91" s="7" t="str">
        <f aca="false">TEXT(B91,"mmm")</f>
        <v>May</v>
      </c>
      <c r="R91" s="7" t="str">
        <f aca="false">TEXT(B91,"yyyy-mm")</f>
        <v>2024-05</v>
      </c>
    </row>
    <row r="92" customFormat="false" ht="15" hidden="false" customHeight="false" outlineLevel="0" collapsed="false">
      <c r="A92" s="7" t="s">
        <v>384</v>
      </c>
      <c r="B92" s="7" t="s">
        <v>385</v>
      </c>
      <c r="C92" s="7" t="s">
        <v>386</v>
      </c>
      <c r="D92" s="7" t="s">
        <v>260</v>
      </c>
      <c r="E92" s="7" t="s">
        <v>261</v>
      </c>
      <c r="F92" s="7" t="s">
        <v>72</v>
      </c>
      <c r="G92" s="7" t="s">
        <v>49</v>
      </c>
      <c r="H92" s="7" t="s">
        <v>100</v>
      </c>
      <c r="I92" s="7" t="s">
        <v>51</v>
      </c>
      <c r="J92" s="7" t="n">
        <v>1</v>
      </c>
      <c r="K92" s="8" t="n">
        <v>4879</v>
      </c>
      <c r="L92" s="9" t="n">
        <v>0</v>
      </c>
      <c r="M92" s="8" t="n">
        <v>2433.73</v>
      </c>
      <c r="N92" s="8" t="n">
        <f aca="false">J92*K92*(1-L92)</f>
        <v>4879</v>
      </c>
      <c r="O92" s="8" t="n">
        <f aca="false">N92-M92</f>
        <v>2445.27</v>
      </c>
      <c r="P92" s="10" t="n">
        <f aca="false">IFERROR(O92/N92,0)</f>
        <v>0.501182619389219</v>
      </c>
      <c r="Q92" s="7" t="str">
        <f aca="false">TEXT(B92,"mmm")</f>
        <v>Jul</v>
      </c>
      <c r="R92" s="7" t="str">
        <f aca="false">TEXT(B92,"yyyy-mm")</f>
        <v>2024-07</v>
      </c>
    </row>
    <row r="93" customFormat="false" ht="15" hidden="false" customHeight="false" outlineLevel="0" collapsed="false">
      <c r="A93" s="7" t="s">
        <v>387</v>
      </c>
      <c r="B93" s="7" t="s">
        <v>388</v>
      </c>
      <c r="C93" s="7" t="s">
        <v>284</v>
      </c>
      <c r="D93" s="7" t="s">
        <v>206</v>
      </c>
      <c r="E93" s="7" t="s">
        <v>207</v>
      </c>
      <c r="F93" s="7" t="s">
        <v>88</v>
      </c>
      <c r="G93" s="7" t="s">
        <v>81</v>
      </c>
      <c r="H93" s="7" t="s">
        <v>82</v>
      </c>
      <c r="I93" s="7" t="s">
        <v>51</v>
      </c>
      <c r="J93" s="7" t="n">
        <v>5</v>
      </c>
      <c r="K93" s="8" t="n">
        <v>1029</v>
      </c>
      <c r="L93" s="9" t="n">
        <v>0.2</v>
      </c>
      <c r="M93" s="8" t="n">
        <v>3143.1</v>
      </c>
      <c r="N93" s="8" t="n">
        <f aca="false">J93*K93*(1-L93)</f>
        <v>4116</v>
      </c>
      <c r="O93" s="8" t="n">
        <f aca="false">N93-M93</f>
        <v>972.9</v>
      </c>
      <c r="P93" s="10" t="n">
        <f aca="false">IFERROR(O93/N93,0)</f>
        <v>0.236370262390671</v>
      </c>
      <c r="Q93" s="7" t="str">
        <f aca="false">TEXT(B93,"mmm")</f>
        <v>Jan</v>
      </c>
      <c r="R93" s="7" t="str">
        <f aca="false">TEXT(B93,"yyyy-mm")</f>
        <v>2024-01</v>
      </c>
    </row>
    <row r="94" customFormat="false" ht="15" hidden="false" customHeight="false" outlineLevel="0" collapsed="false">
      <c r="A94" s="7" t="s">
        <v>389</v>
      </c>
      <c r="B94" s="7" t="s">
        <v>122</v>
      </c>
      <c r="C94" s="7" t="s">
        <v>54</v>
      </c>
      <c r="D94" s="7" t="s">
        <v>140</v>
      </c>
      <c r="E94" s="7" t="s">
        <v>141</v>
      </c>
      <c r="F94" s="7" t="s">
        <v>57</v>
      </c>
      <c r="G94" s="7" t="s">
        <v>73</v>
      </c>
      <c r="H94" s="7" t="s">
        <v>74</v>
      </c>
      <c r="I94" s="7" t="s">
        <v>75</v>
      </c>
      <c r="J94" s="7" t="n">
        <v>2</v>
      </c>
      <c r="K94" s="8" t="n">
        <v>1440</v>
      </c>
      <c r="L94" s="9" t="n">
        <v>0.05</v>
      </c>
      <c r="M94" s="8" t="n">
        <v>1940.78</v>
      </c>
      <c r="N94" s="8" t="n">
        <f aca="false">J94*K94*(1-L94)</f>
        <v>2736</v>
      </c>
      <c r="O94" s="8" t="n">
        <f aca="false">N94-M94</f>
        <v>795.22</v>
      </c>
      <c r="P94" s="10" t="n">
        <f aca="false">IFERROR(O94/N94,0)</f>
        <v>0.290650584795322</v>
      </c>
      <c r="Q94" s="7" t="str">
        <f aca="false">TEXT(B94,"mmm")</f>
        <v>Mar</v>
      </c>
      <c r="R94" s="7" t="str">
        <f aca="false">TEXT(B94,"yyyy-mm")</f>
        <v>2024-03</v>
      </c>
    </row>
    <row r="95" customFormat="false" ht="15" hidden="false" customHeight="false" outlineLevel="0" collapsed="false">
      <c r="A95" s="7" t="s">
        <v>390</v>
      </c>
      <c r="B95" s="7" t="s">
        <v>391</v>
      </c>
      <c r="C95" s="7" t="s">
        <v>392</v>
      </c>
      <c r="D95" s="7" t="s">
        <v>86</v>
      </c>
      <c r="E95" s="7" t="s">
        <v>87</v>
      </c>
      <c r="F95" s="7" t="s">
        <v>88</v>
      </c>
      <c r="G95" s="7" t="s">
        <v>81</v>
      </c>
      <c r="H95" s="7" t="s">
        <v>186</v>
      </c>
      <c r="I95" s="7" t="s">
        <v>51</v>
      </c>
      <c r="J95" s="7" t="n">
        <v>3</v>
      </c>
      <c r="K95" s="8" t="n">
        <v>3719</v>
      </c>
      <c r="L95" s="9" t="n">
        <v>0.05</v>
      </c>
      <c r="M95" s="8" t="n">
        <v>4426.11</v>
      </c>
      <c r="N95" s="8" t="n">
        <f aca="false">J95*K95*(1-L95)</f>
        <v>10599.15</v>
      </c>
      <c r="O95" s="8" t="n">
        <f aca="false">N95-M95</f>
        <v>6173.04</v>
      </c>
      <c r="P95" s="10" t="n">
        <f aca="false">IFERROR(O95/N95,0)</f>
        <v>0.582408966756768</v>
      </c>
      <c r="Q95" s="7" t="str">
        <f aca="false">TEXT(B95,"mmm")</f>
        <v>Nov</v>
      </c>
      <c r="R95" s="7" t="str">
        <f aca="false">TEXT(B95,"yyyy-mm")</f>
        <v>2024-11</v>
      </c>
    </row>
    <row r="96" customFormat="false" ht="15" hidden="false" customHeight="false" outlineLevel="0" collapsed="false">
      <c r="A96" s="7" t="s">
        <v>393</v>
      </c>
      <c r="B96" s="7" t="s">
        <v>200</v>
      </c>
      <c r="C96" s="7" t="s">
        <v>220</v>
      </c>
      <c r="D96" s="7" t="s">
        <v>176</v>
      </c>
      <c r="E96" s="7" t="s">
        <v>177</v>
      </c>
      <c r="F96" s="7" t="s">
        <v>72</v>
      </c>
      <c r="G96" s="7" t="s">
        <v>65</v>
      </c>
      <c r="H96" s="7" t="s">
        <v>126</v>
      </c>
      <c r="I96" s="7" t="s">
        <v>51</v>
      </c>
      <c r="J96" s="7" t="n">
        <v>3</v>
      </c>
      <c r="K96" s="8" t="n">
        <v>3969</v>
      </c>
      <c r="L96" s="9" t="n">
        <v>0.25</v>
      </c>
      <c r="M96" s="8" t="n">
        <v>6443.91</v>
      </c>
      <c r="N96" s="8" t="n">
        <f aca="false">J96*K96*(1-L96)</f>
        <v>8930.25</v>
      </c>
      <c r="O96" s="8" t="n">
        <f aca="false">N96-M96</f>
        <v>2486.34</v>
      </c>
      <c r="P96" s="10" t="n">
        <f aca="false">IFERROR(O96/N96,0)</f>
        <v>0.278417737465357</v>
      </c>
      <c r="Q96" s="7" t="str">
        <f aca="false">TEXT(B96,"mmm")</f>
        <v>May</v>
      </c>
      <c r="R96" s="7" t="str">
        <f aca="false">TEXT(B96,"yyyy-mm")</f>
        <v>2024-05</v>
      </c>
    </row>
    <row r="97" customFormat="false" ht="15" hidden="false" customHeight="false" outlineLevel="0" collapsed="false">
      <c r="A97" s="7" t="s">
        <v>394</v>
      </c>
      <c r="B97" s="7" t="s">
        <v>98</v>
      </c>
      <c r="C97" s="7" t="s">
        <v>256</v>
      </c>
      <c r="D97" s="7" t="s">
        <v>144</v>
      </c>
      <c r="E97" s="7" t="s">
        <v>145</v>
      </c>
      <c r="F97" s="7" t="s">
        <v>48</v>
      </c>
      <c r="G97" s="7" t="s">
        <v>49</v>
      </c>
      <c r="H97" s="7" t="s">
        <v>172</v>
      </c>
      <c r="I97" s="7" t="s">
        <v>51</v>
      </c>
      <c r="J97" s="7" t="n">
        <v>1</v>
      </c>
      <c r="K97" s="8" t="n">
        <v>5149</v>
      </c>
      <c r="L97" s="9" t="n">
        <v>0</v>
      </c>
      <c r="M97" s="8" t="n">
        <v>2172.48</v>
      </c>
      <c r="N97" s="8" t="n">
        <f aca="false">J97*K97*(1-L97)</f>
        <v>5149</v>
      </c>
      <c r="O97" s="8" t="n">
        <f aca="false">N97-M97</f>
        <v>2976.52</v>
      </c>
      <c r="P97" s="10" t="n">
        <f aca="false">IFERROR(O97/N97,0)</f>
        <v>0.578077296562439</v>
      </c>
      <c r="Q97" s="7" t="str">
        <f aca="false">TEXT(B97,"mmm")</f>
        <v>Jun</v>
      </c>
      <c r="R97" s="7" t="str">
        <f aca="false">TEXT(B97,"yyyy-mm")</f>
        <v>2024-06</v>
      </c>
    </row>
    <row r="98" customFormat="false" ht="15" hidden="false" customHeight="false" outlineLevel="0" collapsed="false">
      <c r="A98" s="7" t="s">
        <v>395</v>
      </c>
      <c r="B98" s="7" t="s">
        <v>396</v>
      </c>
      <c r="C98" s="7" t="s">
        <v>397</v>
      </c>
      <c r="D98" s="7" t="s">
        <v>314</v>
      </c>
      <c r="E98" s="7" t="s">
        <v>315</v>
      </c>
      <c r="F98" s="7" t="s">
        <v>64</v>
      </c>
      <c r="G98" s="7" t="s">
        <v>65</v>
      </c>
      <c r="H98" s="7" t="s">
        <v>126</v>
      </c>
      <c r="I98" s="7" t="s">
        <v>75</v>
      </c>
      <c r="J98" s="7" t="n">
        <v>3</v>
      </c>
      <c r="K98" s="8" t="n">
        <v>4059</v>
      </c>
      <c r="L98" s="9" t="n">
        <v>0</v>
      </c>
      <c r="M98" s="8" t="n">
        <v>6838.62</v>
      </c>
      <c r="N98" s="8" t="n">
        <f aca="false">J98*K98*(1-L98)</f>
        <v>12177</v>
      </c>
      <c r="O98" s="8" t="n">
        <f aca="false">N98-M98</f>
        <v>5338.38</v>
      </c>
      <c r="P98" s="10" t="n">
        <f aca="false">IFERROR(O98/N98,0)</f>
        <v>0.43839862034984</v>
      </c>
      <c r="Q98" s="7" t="str">
        <f aca="false">TEXT(B98,"mmm")</f>
        <v>Nov</v>
      </c>
      <c r="R98" s="7" t="str">
        <f aca="false">TEXT(B98,"yyyy-mm")</f>
        <v>2024-11</v>
      </c>
    </row>
    <row r="99" customFormat="false" ht="15" hidden="false" customHeight="false" outlineLevel="0" collapsed="false">
      <c r="A99" s="7" t="s">
        <v>398</v>
      </c>
      <c r="B99" s="7" t="s">
        <v>84</v>
      </c>
      <c r="C99" s="7" t="s">
        <v>399</v>
      </c>
      <c r="D99" s="7" t="s">
        <v>162</v>
      </c>
      <c r="E99" s="7" t="s">
        <v>163</v>
      </c>
      <c r="F99" s="7" t="s">
        <v>57</v>
      </c>
      <c r="G99" s="7" t="s">
        <v>336</v>
      </c>
      <c r="H99" s="7" t="s">
        <v>336</v>
      </c>
      <c r="I99" s="7" t="s">
        <v>75</v>
      </c>
      <c r="J99" s="7" t="n">
        <v>4</v>
      </c>
      <c r="K99" s="8" t="n">
        <v>4629</v>
      </c>
      <c r="L99" s="9" t="n">
        <v>0.2</v>
      </c>
      <c r="M99" s="8" t="n">
        <v>8120.68</v>
      </c>
      <c r="N99" s="8" t="n">
        <f aca="false">J99*K99*(1-L99)</f>
        <v>14812.8</v>
      </c>
      <c r="O99" s="8" t="n">
        <f aca="false">N99-M99</f>
        <v>6692.12</v>
      </c>
      <c r="P99" s="10" t="n">
        <f aca="false">IFERROR(O99/N99,0)</f>
        <v>0.451779542017714</v>
      </c>
      <c r="Q99" s="7" t="str">
        <f aca="false">TEXT(B99,"mmm")</f>
        <v>Apr</v>
      </c>
      <c r="R99" s="7" t="str">
        <f aca="false">TEXT(B99,"yyyy-mm")</f>
        <v>2024-04</v>
      </c>
    </row>
    <row r="100" customFormat="false" ht="15" hidden="false" customHeight="false" outlineLevel="0" collapsed="false">
      <c r="A100" s="7" t="s">
        <v>400</v>
      </c>
      <c r="B100" s="7" t="s">
        <v>401</v>
      </c>
      <c r="C100" s="7" t="s">
        <v>78</v>
      </c>
      <c r="D100" s="7" t="s">
        <v>46</v>
      </c>
      <c r="E100" s="7" t="s">
        <v>47</v>
      </c>
      <c r="F100" s="7" t="s">
        <v>48</v>
      </c>
      <c r="G100" s="7" t="s">
        <v>65</v>
      </c>
      <c r="H100" s="7" t="s">
        <v>126</v>
      </c>
      <c r="I100" s="7" t="s">
        <v>51</v>
      </c>
      <c r="J100" s="7" t="n">
        <v>3</v>
      </c>
      <c r="K100" s="8" t="n">
        <v>4349</v>
      </c>
      <c r="L100" s="9" t="n">
        <v>0.15</v>
      </c>
      <c r="M100" s="8" t="n">
        <v>7466.31</v>
      </c>
      <c r="N100" s="8" t="n">
        <f aca="false">J100*K100*(1-L100)</f>
        <v>11089.95</v>
      </c>
      <c r="O100" s="8" t="n">
        <f aca="false">N100-M100</f>
        <v>3623.64</v>
      </c>
      <c r="P100" s="10" t="n">
        <f aca="false">IFERROR(O100/N100,0)</f>
        <v>0.326749895175361</v>
      </c>
      <c r="Q100" s="7" t="str">
        <f aca="false">TEXT(B100,"mmm")</f>
        <v>Aug</v>
      </c>
      <c r="R100" s="7" t="str">
        <f aca="false">TEXT(B100,"yyyy-mm")</f>
        <v>2024-08</v>
      </c>
    </row>
    <row r="101" customFormat="false" ht="15" hidden="false" customHeight="false" outlineLevel="0" collapsed="false">
      <c r="A101" s="7" t="s">
        <v>402</v>
      </c>
      <c r="B101" s="7" t="s">
        <v>403</v>
      </c>
      <c r="C101" s="7" t="s">
        <v>148</v>
      </c>
      <c r="D101" s="7" t="s">
        <v>360</v>
      </c>
      <c r="E101" s="7" t="s">
        <v>361</v>
      </c>
      <c r="F101" s="7" t="s">
        <v>48</v>
      </c>
      <c r="G101" s="7" t="s">
        <v>49</v>
      </c>
      <c r="H101" s="7" t="s">
        <v>58</v>
      </c>
      <c r="I101" s="7" t="s">
        <v>51</v>
      </c>
      <c r="J101" s="7" t="n">
        <v>6</v>
      </c>
      <c r="K101" s="8" t="n">
        <v>679</v>
      </c>
      <c r="L101" s="9" t="n">
        <v>0.25</v>
      </c>
      <c r="M101" s="8" t="n">
        <v>2764.2</v>
      </c>
      <c r="N101" s="8" t="n">
        <f aca="false">J101*K101*(1-L101)</f>
        <v>3055.5</v>
      </c>
      <c r="O101" s="8" t="n">
        <f aca="false">N101-M101</f>
        <v>291.3</v>
      </c>
      <c r="P101" s="10" t="n">
        <f aca="false">IFERROR(O101/N101,0)</f>
        <v>0.0953362788414335</v>
      </c>
      <c r="Q101" s="7" t="str">
        <f aca="false">TEXT(B101,"mmm")</f>
        <v>Mar</v>
      </c>
      <c r="R101" s="7" t="str">
        <f aca="false">TEXT(B101,"yyyy-mm")</f>
        <v>2024-03</v>
      </c>
    </row>
    <row r="102" customFormat="false" ht="15" hidden="false" customHeight="false" outlineLevel="0" collapsed="false">
      <c r="A102" s="7" t="s">
        <v>404</v>
      </c>
      <c r="B102" s="7" t="s">
        <v>204</v>
      </c>
      <c r="C102" s="7" t="s">
        <v>405</v>
      </c>
      <c r="D102" s="7" t="s">
        <v>360</v>
      </c>
      <c r="E102" s="7" t="s">
        <v>361</v>
      </c>
      <c r="F102" s="7" t="s">
        <v>48</v>
      </c>
      <c r="G102" s="7" t="s">
        <v>49</v>
      </c>
      <c r="H102" s="7" t="s">
        <v>172</v>
      </c>
      <c r="I102" s="7" t="s">
        <v>75</v>
      </c>
      <c r="J102" s="7" t="n">
        <v>5</v>
      </c>
      <c r="K102" s="8" t="n">
        <v>679</v>
      </c>
      <c r="L102" s="9" t="n">
        <v>0</v>
      </c>
      <c r="M102" s="8" t="n">
        <v>2303.5</v>
      </c>
      <c r="N102" s="8" t="n">
        <f aca="false">J102*K102*(1-L102)</f>
        <v>3395</v>
      </c>
      <c r="O102" s="8" t="n">
        <f aca="false">N102-M102</f>
        <v>1091.5</v>
      </c>
      <c r="P102" s="10" t="n">
        <f aca="false">IFERROR(O102/N102,0)</f>
        <v>0.321502209131075</v>
      </c>
      <c r="Q102" s="7" t="str">
        <f aca="false">TEXT(B102,"mmm")</f>
        <v>Apr</v>
      </c>
      <c r="R102" s="7" t="str">
        <f aca="false">TEXT(B102,"yyyy-mm")</f>
        <v>2024-04</v>
      </c>
    </row>
    <row r="103" customFormat="false" ht="15" hidden="false" customHeight="false" outlineLevel="0" collapsed="false">
      <c r="A103" s="7" t="s">
        <v>406</v>
      </c>
      <c r="B103" s="7" t="s">
        <v>346</v>
      </c>
      <c r="C103" s="7" t="s">
        <v>205</v>
      </c>
      <c r="D103" s="7" t="s">
        <v>244</v>
      </c>
      <c r="E103" s="7" t="s">
        <v>245</v>
      </c>
      <c r="F103" s="7" t="s">
        <v>88</v>
      </c>
      <c r="G103" s="7" t="s">
        <v>73</v>
      </c>
      <c r="H103" s="7" t="s">
        <v>74</v>
      </c>
      <c r="I103" s="7" t="s">
        <v>75</v>
      </c>
      <c r="J103" s="7" t="n">
        <v>5</v>
      </c>
      <c r="K103" s="8" t="n">
        <v>5319</v>
      </c>
      <c r="L103" s="9" t="n">
        <v>0.2</v>
      </c>
      <c r="M103" s="8" t="n">
        <v>15429.15</v>
      </c>
      <c r="N103" s="8" t="n">
        <f aca="false">J103*K103*(1-L103)</f>
        <v>21276</v>
      </c>
      <c r="O103" s="8" t="n">
        <f aca="false">N103-M103</f>
        <v>5846.85</v>
      </c>
      <c r="P103" s="10" t="n">
        <f aca="false">IFERROR(O103/N103,0)</f>
        <v>0.274809644670051</v>
      </c>
      <c r="Q103" s="7" t="str">
        <f aca="false">TEXT(B103,"mmm")</f>
        <v>Apr</v>
      </c>
      <c r="R103" s="7" t="str">
        <f aca="false">TEXT(B103,"yyyy-mm")</f>
        <v>2024-04</v>
      </c>
    </row>
    <row r="104" customFormat="false" ht="15" hidden="false" customHeight="false" outlineLevel="0" collapsed="false">
      <c r="A104" s="7" t="s">
        <v>407</v>
      </c>
      <c r="B104" s="7" t="s">
        <v>408</v>
      </c>
      <c r="C104" s="7" t="s">
        <v>134</v>
      </c>
      <c r="D104" s="7" t="s">
        <v>140</v>
      </c>
      <c r="E104" s="7" t="s">
        <v>141</v>
      </c>
      <c r="F104" s="7" t="s">
        <v>57</v>
      </c>
      <c r="G104" s="7" t="s">
        <v>81</v>
      </c>
      <c r="H104" s="7" t="s">
        <v>109</v>
      </c>
      <c r="I104" s="7" t="s">
        <v>75</v>
      </c>
      <c r="J104" s="7" t="n">
        <v>2</v>
      </c>
      <c r="K104" s="8" t="n">
        <v>1440</v>
      </c>
      <c r="L104" s="9" t="n">
        <v>0.15</v>
      </c>
      <c r="M104" s="8" t="n">
        <v>1940.78</v>
      </c>
      <c r="N104" s="8" t="n">
        <f aca="false">J104*K104*(1-L104)</f>
        <v>2448</v>
      </c>
      <c r="O104" s="8" t="n">
        <f aca="false">N104-M104</f>
        <v>507.22</v>
      </c>
      <c r="P104" s="10" t="n">
        <f aca="false">IFERROR(O104/N104,0)</f>
        <v>0.207197712418301</v>
      </c>
      <c r="Q104" s="7" t="str">
        <f aca="false">TEXT(B104,"mmm")</f>
        <v>Jul</v>
      </c>
      <c r="R104" s="7" t="str">
        <f aca="false">TEXT(B104,"yyyy-mm")</f>
        <v>2024-07</v>
      </c>
    </row>
    <row r="105" customFormat="false" ht="15" hidden="false" customHeight="false" outlineLevel="0" collapsed="false">
      <c r="A105" s="7" t="s">
        <v>409</v>
      </c>
      <c r="B105" s="7" t="s">
        <v>410</v>
      </c>
      <c r="C105" s="7" t="s">
        <v>248</v>
      </c>
      <c r="D105" s="7" t="s">
        <v>144</v>
      </c>
      <c r="E105" s="7" t="s">
        <v>145</v>
      </c>
      <c r="F105" s="7" t="s">
        <v>48</v>
      </c>
      <c r="G105" s="7" t="s">
        <v>65</v>
      </c>
      <c r="H105" s="7" t="s">
        <v>66</v>
      </c>
      <c r="I105" s="7" t="s">
        <v>75</v>
      </c>
      <c r="J105" s="7" t="n">
        <v>5</v>
      </c>
      <c r="K105" s="8" t="n">
        <v>5149</v>
      </c>
      <c r="L105" s="9" t="n">
        <v>0</v>
      </c>
      <c r="M105" s="8" t="n">
        <v>10862.4</v>
      </c>
      <c r="N105" s="8" t="n">
        <f aca="false">J105*K105*(1-L105)</f>
        <v>25745</v>
      </c>
      <c r="O105" s="8" t="n">
        <f aca="false">N105-M105</f>
        <v>14882.6</v>
      </c>
      <c r="P105" s="10" t="n">
        <f aca="false">IFERROR(O105/N105,0)</f>
        <v>0.578077296562439</v>
      </c>
      <c r="Q105" s="7" t="str">
        <f aca="false">TEXT(B105,"mmm")</f>
        <v>Dec</v>
      </c>
      <c r="R105" s="7" t="str">
        <f aca="false">TEXT(B105,"yyyy-mm")</f>
        <v>2024-12</v>
      </c>
    </row>
    <row r="106" customFormat="false" ht="15" hidden="false" customHeight="false" outlineLevel="0" collapsed="false">
      <c r="A106" s="7" t="s">
        <v>411</v>
      </c>
      <c r="B106" s="7" t="s">
        <v>412</v>
      </c>
      <c r="C106" s="7" t="s">
        <v>413</v>
      </c>
      <c r="D106" s="7" t="s">
        <v>360</v>
      </c>
      <c r="E106" s="7" t="s">
        <v>361</v>
      </c>
      <c r="F106" s="7" t="s">
        <v>48</v>
      </c>
      <c r="G106" s="7" t="s">
        <v>65</v>
      </c>
      <c r="H106" s="7" t="s">
        <v>217</v>
      </c>
      <c r="I106" s="7" t="s">
        <v>51</v>
      </c>
      <c r="J106" s="7" t="n">
        <v>3</v>
      </c>
      <c r="K106" s="8" t="n">
        <v>679</v>
      </c>
      <c r="L106" s="9" t="n">
        <v>0.25</v>
      </c>
      <c r="M106" s="8" t="n">
        <v>1382.1</v>
      </c>
      <c r="N106" s="8" t="n">
        <f aca="false">J106*K106*(1-L106)</f>
        <v>1527.75</v>
      </c>
      <c r="O106" s="8" t="n">
        <f aca="false">N106-M106</f>
        <v>145.65</v>
      </c>
      <c r="P106" s="10" t="n">
        <f aca="false">IFERROR(O106/N106,0)</f>
        <v>0.0953362788414335</v>
      </c>
      <c r="Q106" s="7" t="str">
        <f aca="false">TEXT(B106,"mmm")</f>
        <v>Apr</v>
      </c>
      <c r="R106" s="7" t="str">
        <f aca="false">TEXT(B106,"yyyy-mm")</f>
        <v>2024-04</v>
      </c>
    </row>
    <row r="107" customFormat="false" ht="15" hidden="false" customHeight="false" outlineLevel="0" collapsed="false">
      <c r="A107" s="7" t="s">
        <v>414</v>
      </c>
      <c r="B107" s="7" t="s">
        <v>415</v>
      </c>
      <c r="C107" s="7" t="s">
        <v>416</v>
      </c>
      <c r="D107" s="7" t="s">
        <v>62</v>
      </c>
      <c r="E107" s="7" t="s">
        <v>63</v>
      </c>
      <c r="F107" s="7" t="s">
        <v>64</v>
      </c>
      <c r="G107" s="7" t="s">
        <v>73</v>
      </c>
      <c r="H107" s="7" t="s">
        <v>266</v>
      </c>
      <c r="I107" s="7" t="s">
        <v>51</v>
      </c>
      <c r="J107" s="7" t="n">
        <v>4</v>
      </c>
      <c r="K107" s="8" t="n">
        <v>7079</v>
      </c>
      <c r="L107" s="9" t="n">
        <v>0.1</v>
      </c>
      <c r="M107" s="8" t="n">
        <v>10959.12</v>
      </c>
      <c r="N107" s="8" t="n">
        <f aca="false">J107*K107*(1-L107)</f>
        <v>25484.4</v>
      </c>
      <c r="O107" s="8" t="n">
        <f aca="false">N107-M107</f>
        <v>14525.28</v>
      </c>
      <c r="P107" s="10" t="n">
        <f aca="false">IFERROR(O107/N107,0)</f>
        <v>0.569967509535245</v>
      </c>
      <c r="Q107" s="7" t="str">
        <f aca="false">TEXT(B107,"mmm")</f>
        <v>Mar</v>
      </c>
      <c r="R107" s="7" t="str">
        <f aca="false">TEXT(B107,"yyyy-mm")</f>
        <v>2024-03</v>
      </c>
    </row>
    <row r="108" customFormat="false" ht="15" hidden="false" customHeight="false" outlineLevel="0" collapsed="false">
      <c r="A108" s="7" t="s">
        <v>417</v>
      </c>
      <c r="B108" s="7" t="s">
        <v>418</v>
      </c>
      <c r="C108" s="7" t="s">
        <v>419</v>
      </c>
      <c r="D108" s="7" t="s">
        <v>70</v>
      </c>
      <c r="E108" s="7" t="s">
        <v>71</v>
      </c>
      <c r="F108" s="7" t="s">
        <v>72</v>
      </c>
      <c r="G108" s="7" t="s">
        <v>65</v>
      </c>
      <c r="H108" s="7" t="s">
        <v>126</v>
      </c>
      <c r="I108" s="7" t="s">
        <v>51</v>
      </c>
      <c r="J108" s="7" t="n">
        <v>3</v>
      </c>
      <c r="K108" s="8" t="n">
        <v>3059</v>
      </c>
      <c r="L108" s="9" t="n">
        <v>0</v>
      </c>
      <c r="M108" s="8" t="n">
        <v>4819.38</v>
      </c>
      <c r="N108" s="8" t="n">
        <f aca="false">J108*K108*(1-L108)</f>
        <v>9177</v>
      </c>
      <c r="O108" s="8" t="n">
        <f aca="false">N108-M108</f>
        <v>4357.62</v>
      </c>
      <c r="P108" s="10" t="n">
        <f aca="false">IFERROR(O108/N108,0)</f>
        <v>0.474841451454724</v>
      </c>
      <c r="Q108" s="7" t="str">
        <f aca="false">TEXT(B108,"mmm")</f>
        <v>Jul</v>
      </c>
      <c r="R108" s="7" t="str">
        <f aca="false">TEXT(B108,"yyyy-mm")</f>
        <v>2024-07</v>
      </c>
    </row>
    <row r="109" customFormat="false" ht="15" hidden="false" customHeight="false" outlineLevel="0" collapsed="false">
      <c r="A109" s="7" t="s">
        <v>420</v>
      </c>
      <c r="B109" s="7" t="s">
        <v>421</v>
      </c>
      <c r="C109" s="7" t="s">
        <v>422</v>
      </c>
      <c r="D109" s="7" t="s">
        <v>423</v>
      </c>
      <c r="E109" s="7" t="s">
        <v>424</v>
      </c>
      <c r="F109" s="7" t="s">
        <v>48</v>
      </c>
      <c r="G109" s="7" t="s">
        <v>49</v>
      </c>
      <c r="H109" s="7" t="s">
        <v>58</v>
      </c>
      <c r="I109" s="7" t="s">
        <v>75</v>
      </c>
      <c r="J109" s="7" t="n">
        <v>2</v>
      </c>
      <c r="K109" s="8" t="n">
        <v>5039</v>
      </c>
      <c r="L109" s="9" t="n">
        <v>0.2</v>
      </c>
      <c r="M109" s="8" t="n">
        <v>3892.72</v>
      </c>
      <c r="N109" s="8" t="n">
        <f aca="false">J109*K109*(1-L109)</f>
        <v>8062.4</v>
      </c>
      <c r="O109" s="8" t="n">
        <f aca="false">N109-M109</f>
        <v>4169.68</v>
      </c>
      <c r="P109" s="10" t="n">
        <f aca="false">IFERROR(O109/N109,0)</f>
        <v>0.517176026989482</v>
      </c>
      <c r="Q109" s="7" t="str">
        <f aca="false">TEXT(B109,"mmm")</f>
        <v>Aug</v>
      </c>
      <c r="R109" s="7" t="str">
        <f aca="false">TEXT(B109,"yyyy-mm")</f>
        <v>2024-08</v>
      </c>
    </row>
    <row r="110" customFormat="false" ht="15" hidden="false" customHeight="false" outlineLevel="0" collapsed="false">
      <c r="A110" s="7" t="s">
        <v>425</v>
      </c>
      <c r="B110" s="7" t="s">
        <v>204</v>
      </c>
      <c r="C110" s="7" t="s">
        <v>426</v>
      </c>
      <c r="D110" s="7" t="s">
        <v>176</v>
      </c>
      <c r="E110" s="7" t="s">
        <v>177</v>
      </c>
      <c r="F110" s="7" t="s">
        <v>72</v>
      </c>
      <c r="G110" s="7" t="s">
        <v>65</v>
      </c>
      <c r="H110" s="7" t="s">
        <v>106</v>
      </c>
      <c r="I110" s="7" t="s">
        <v>75</v>
      </c>
      <c r="J110" s="7" t="n">
        <v>4</v>
      </c>
      <c r="K110" s="8" t="n">
        <v>3969</v>
      </c>
      <c r="L110" s="9" t="n">
        <v>0.1</v>
      </c>
      <c r="M110" s="8" t="n">
        <v>8591.88</v>
      </c>
      <c r="N110" s="8" t="n">
        <f aca="false">J110*K110*(1-L110)</f>
        <v>14288.4</v>
      </c>
      <c r="O110" s="8" t="n">
        <f aca="false">N110-M110</f>
        <v>5696.52</v>
      </c>
      <c r="P110" s="10" t="n">
        <f aca="false">IFERROR(O110/N110,0)</f>
        <v>0.398681447887797</v>
      </c>
      <c r="Q110" s="7" t="str">
        <f aca="false">TEXT(B110,"mmm")</f>
        <v>Apr</v>
      </c>
      <c r="R110" s="7" t="str">
        <f aca="false">TEXT(B110,"yyyy-mm")</f>
        <v>2024-04</v>
      </c>
    </row>
    <row r="111" customFormat="false" ht="15" hidden="false" customHeight="false" outlineLevel="0" collapsed="false">
      <c r="A111" s="7" t="s">
        <v>427</v>
      </c>
      <c r="B111" s="7" t="s">
        <v>428</v>
      </c>
      <c r="C111" s="7" t="s">
        <v>422</v>
      </c>
      <c r="D111" s="7" t="s">
        <v>197</v>
      </c>
      <c r="E111" s="7" t="s">
        <v>198</v>
      </c>
      <c r="F111" s="7" t="s">
        <v>64</v>
      </c>
      <c r="G111" s="7" t="s">
        <v>65</v>
      </c>
      <c r="H111" s="7" t="s">
        <v>66</v>
      </c>
      <c r="I111" s="7" t="s">
        <v>75</v>
      </c>
      <c r="J111" s="7" t="n">
        <v>1</v>
      </c>
      <c r="K111" s="8" t="n">
        <v>2910</v>
      </c>
      <c r="L111" s="9" t="n">
        <v>0.05</v>
      </c>
      <c r="M111" s="8" t="n">
        <v>1340.16</v>
      </c>
      <c r="N111" s="8" t="n">
        <f aca="false">J111*K111*(1-L111)</f>
        <v>2764.5</v>
      </c>
      <c r="O111" s="8" t="n">
        <f aca="false">N111-M111</f>
        <v>1424.34</v>
      </c>
      <c r="P111" s="10" t="n">
        <f aca="false">IFERROR(O111/N111,0)</f>
        <v>0.515225176342919</v>
      </c>
      <c r="Q111" s="7" t="str">
        <f aca="false">TEXT(B111,"mmm")</f>
        <v>Jun</v>
      </c>
      <c r="R111" s="7" t="str">
        <f aca="false">TEXT(B111,"yyyy-mm")</f>
        <v>2024-06</v>
      </c>
    </row>
    <row r="112" customFormat="false" ht="15" hidden="false" customHeight="false" outlineLevel="0" collapsed="false">
      <c r="A112" s="7" t="s">
        <v>429</v>
      </c>
      <c r="B112" s="7" t="s">
        <v>430</v>
      </c>
      <c r="C112" s="7" t="s">
        <v>373</v>
      </c>
      <c r="D112" s="7" t="s">
        <v>227</v>
      </c>
      <c r="E112" s="7" t="s">
        <v>228</v>
      </c>
      <c r="F112" s="7" t="s">
        <v>64</v>
      </c>
      <c r="G112" s="7" t="s">
        <v>49</v>
      </c>
      <c r="H112" s="7" t="s">
        <v>100</v>
      </c>
      <c r="I112" s="7" t="s">
        <v>75</v>
      </c>
      <c r="J112" s="7" t="n">
        <v>4</v>
      </c>
      <c r="K112" s="8" t="n">
        <v>5529</v>
      </c>
      <c r="L112" s="9" t="n">
        <v>0.15</v>
      </c>
      <c r="M112" s="8" t="n">
        <v>12210.88</v>
      </c>
      <c r="N112" s="8" t="n">
        <f aca="false">J112*K112*(1-L112)</f>
        <v>18798.6</v>
      </c>
      <c r="O112" s="8" t="n">
        <f aca="false">N112-M112</f>
        <v>6587.72</v>
      </c>
      <c r="P112" s="10" t="n">
        <f aca="false">IFERROR(O112/N112,0)</f>
        <v>0.350436734650453</v>
      </c>
      <c r="Q112" s="7" t="str">
        <f aca="false">TEXT(B112,"mmm")</f>
        <v>Feb</v>
      </c>
      <c r="R112" s="7" t="str">
        <f aca="false">TEXT(B112,"yyyy-mm")</f>
        <v>2024-02</v>
      </c>
    </row>
    <row r="113" customFormat="false" ht="15" hidden="false" customHeight="false" outlineLevel="0" collapsed="false">
      <c r="A113" s="7" t="s">
        <v>431</v>
      </c>
      <c r="B113" s="7" t="s">
        <v>375</v>
      </c>
      <c r="C113" s="7" t="s">
        <v>432</v>
      </c>
      <c r="D113" s="7" t="s">
        <v>130</v>
      </c>
      <c r="E113" s="7" t="s">
        <v>131</v>
      </c>
      <c r="F113" s="7" t="s">
        <v>72</v>
      </c>
      <c r="G113" s="7" t="s">
        <v>81</v>
      </c>
      <c r="H113" s="7" t="s">
        <v>109</v>
      </c>
      <c r="I113" s="7" t="s">
        <v>51</v>
      </c>
      <c r="J113" s="7" t="n">
        <v>3</v>
      </c>
      <c r="K113" s="8" t="n">
        <v>7899</v>
      </c>
      <c r="L113" s="9" t="n">
        <v>0.15</v>
      </c>
      <c r="M113" s="8" t="n">
        <v>10217.49</v>
      </c>
      <c r="N113" s="8" t="n">
        <f aca="false">J113*K113*(1-L113)</f>
        <v>20142.45</v>
      </c>
      <c r="O113" s="8" t="n">
        <f aca="false">N113-M113</f>
        <v>9924.96</v>
      </c>
      <c r="P113" s="10" t="n">
        <f aca="false">IFERROR(O113/N113,0)</f>
        <v>0.492738470245675</v>
      </c>
      <c r="Q113" s="7" t="str">
        <f aca="false">TEXT(B113,"mmm")</f>
        <v>Nov</v>
      </c>
      <c r="R113" s="7" t="str">
        <f aca="false">TEXT(B113,"yyyy-mm")</f>
        <v>2024-11</v>
      </c>
    </row>
    <row r="114" customFormat="false" ht="15" hidden="false" customHeight="false" outlineLevel="0" collapsed="false">
      <c r="A114" s="7" t="s">
        <v>433</v>
      </c>
      <c r="B114" s="7" t="s">
        <v>434</v>
      </c>
      <c r="C114" s="7" t="s">
        <v>129</v>
      </c>
      <c r="D114" s="7" t="s">
        <v>181</v>
      </c>
      <c r="E114" s="7" t="s">
        <v>182</v>
      </c>
      <c r="F114" s="7" t="s">
        <v>88</v>
      </c>
      <c r="G114" s="7" t="s">
        <v>73</v>
      </c>
      <c r="H114" s="7" t="s">
        <v>115</v>
      </c>
      <c r="I114" s="7" t="s">
        <v>75</v>
      </c>
      <c r="J114" s="7" t="n">
        <v>3</v>
      </c>
      <c r="K114" s="8" t="n">
        <v>4489</v>
      </c>
      <c r="L114" s="9" t="n">
        <v>0.25</v>
      </c>
      <c r="M114" s="8" t="n">
        <v>5866.71</v>
      </c>
      <c r="N114" s="8" t="n">
        <f aca="false">J114*K114*(1-L114)</f>
        <v>10100.25</v>
      </c>
      <c r="O114" s="8" t="n">
        <f aca="false">N114-M114</f>
        <v>4233.54</v>
      </c>
      <c r="P114" s="10" t="n">
        <f aca="false">IFERROR(O114/N114,0)</f>
        <v>0.419152001188089</v>
      </c>
      <c r="Q114" s="7" t="str">
        <f aca="false">TEXT(B114,"mmm")</f>
        <v>May</v>
      </c>
      <c r="R114" s="7" t="str">
        <f aca="false">TEXT(B114,"yyyy-mm")</f>
        <v>2024-05</v>
      </c>
    </row>
    <row r="115" customFormat="false" ht="15" hidden="false" customHeight="false" outlineLevel="0" collapsed="false">
      <c r="A115" s="7" t="s">
        <v>435</v>
      </c>
      <c r="B115" s="7" t="s">
        <v>436</v>
      </c>
      <c r="C115" s="7" t="s">
        <v>437</v>
      </c>
      <c r="D115" s="7" t="s">
        <v>423</v>
      </c>
      <c r="E115" s="7" t="s">
        <v>424</v>
      </c>
      <c r="F115" s="7" t="s">
        <v>48</v>
      </c>
      <c r="G115" s="7" t="s">
        <v>73</v>
      </c>
      <c r="H115" s="7" t="s">
        <v>115</v>
      </c>
      <c r="I115" s="7" t="s">
        <v>51</v>
      </c>
      <c r="J115" s="7" t="n">
        <v>4</v>
      </c>
      <c r="K115" s="8" t="n">
        <v>5039</v>
      </c>
      <c r="L115" s="9" t="n">
        <v>0</v>
      </c>
      <c r="M115" s="8" t="n">
        <v>7785.44</v>
      </c>
      <c r="N115" s="8" t="n">
        <f aca="false">J115*K115*(1-L115)</f>
        <v>20156</v>
      </c>
      <c r="O115" s="8" t="n">
        <f aca="false">N115-M115</f>
        <v>12370.56</v>
      </c>
      <c r="P115" s="10" t="n">
        <f aca="false">IFERROR(O115/N115,0)</f>
        <v>0.613740821591586</v>
      </c>
      <c r="Q115" s="7" t="str">
        <f aca="false">TEXT(B115,"mmm")</f>
        <v>May</v>
      </c>
      <c r="R115" s="7" t="str">
        <f aca="false">TEXT(B115,"yyyy-mm")</f>
        <v>2024-05</v>
      </c>
    </row>
    <row r="116" customFormat="false" ht="15" hidden="false" customHeight="false" outlineLevel="0" collapsed="false">
      <c r="A116" s="7" t="s">
        <v>438</v>
      </c>
      <c r="B116" s="7" t="s">
        <v>439</v>
      </c>
      <c r="C116" s="7" t="s">
        <v>440</v>
      </c>
      <c r="D116" s="7" t="s">
        <v>441</v>
      </c>
      <c r="E116" s="7" t="s">
        <v>442</v>
      </c>
      <c r="F116" s="7" t="s">
        <v>64</v>
      </c>
      <c r="G116" s="7" t="s">
        <v>73</v>
      </c>
      <c r="H116" s="7" t="s">
        <v>115</v>
      </c>
      <c r="I116" s="7" t="s">
        <v>75</v>
      </c>
      <c r="J116" s="7" t="n">
        <v>4</v>
      </c>
      <c r="K116" s="8" t="n">
        <v>3349</v>
      </c>
      <c r="L116" s="9" t="n">
        <v>0.25</v>
      </c>
      <c r="M116" s="8" t="n">
        <v>8762.36</v>
      </c>
      <c r="N116" s="8" t="n">
        <f aca="false">J116*K116*(1-L116)</f>
        <v>10047</v>
      </c>
      <c r="O116" s="8" t="n">
        <f aca="false">N116-M116</f>
        <v>1284.64</v>
      </c>
      <c r="P116" s="10" t="n">
        <f aca="false">IFERROR(O116/N116,0)</f>
        <v>0.127863043694635</v>
      </c>
      <c r="Q116" s="7" t="str">
        <f aca="false">TEXT(B116,"mmm")</f>
        <v>Aug</v>
      </c>
      <c r="R116" s="7" t="str">
        <f aca="false">TEXT(B116,"yyyy-mm")</f>
        <v>2024-08</v>
      </c>
    </row>
    <row r="117" customFormat="false" ht="15" hidden="false" customHeight="false" outlineLevel="0" collapsed="false">
      <c r="A117" s="7" t="s">
        <v>443</v>
      </c>
      <c r="B117" s="7" t="s">
        <v>444</v>
      </c>
      <c r="C117" s="7" t="s">
        <v>307</v>
      </c>
      <c r="D117" s="7" t="s">
        <v>46</v>
      </c>
      <c r="E117" s="7" t="s">
        <v>47</v>
      </c>
      <c r="F117" s="7" t="s">
        <v>48</v>
      </c>
      <c r="G117" s="7" t="s">
        <v>49</v>
      </c>
      <c r="H117" s="7" t="s">
        <v>58</v>
      </c>
      <c r="I117" s="7" t="s">
        <v>75</v>
      </c>
      <c r="J117" s="7" t="n">
        <v>3</v>
      </c>
      <c r="K117" s="8" t="n">
        <v>4349</v>
      </c>
      <c r="L117" s="9" t="n">
        <v>0.05</v>
      </c>
      <c r="M117" s="8" t="n">
        <v>7466.31</v>
      </c>
      <c r="N117" s="8" t="n">
        <f aca="false">J117*K117*(1-L117)</f>
        <v>12394.65</v>
      </c>
      <c r="O117" s="8" t="n">
        <f aca="false">N117-M117</f>
        <v>4928.34</v>
      </c>
      <c r="P117" s="10" t="n">
        <f aca="false">IFERROR(O117/N117,0)</f>
        <v>0.397618327262166</v>
      </c>
      <c r="Q117" s="7" t="str">
        <f aca="false">TEXT(B117,"mmm")</f>
        <v>Aug</v>
      </c>
      <c r="R117" s="7" t="str">
        <f aca="false">TEXT(B117,"yyyy-mm")</f>
        <v>2024-08</v>
      </c>
    </row>
    <row r="118" customFormat="false" ht="15" hidden="false" customHeight="false" outlineLevel="0" collapsed="false">
      <c r="A118" s="7" t="s">
        <v>445</v>
      </c>
      <c r="B118" s="7" t="s">
        <v>446</v>
      </c>
      <c r="C118" s="7" t="s">
        <v>447</v>
      </c>
      <c r="D118" s="7" t="s">
        <v>215</v>
      </c>
      <c r="E118" s="7" t="s">
        <v>216</v>
      </c>
      <c r="F118" s="7" t="s">
        <v>57</v>
      </c>
      <c r="G118" s="7" t="s">
        <v>73</v>
      </c>
      <c r="H118" s="7" t="s">
        <v>211</v>
      </c>
      <c r="I118" s="7" t="s">
        <v>51</v>
      </c>
      <c r="J118" s="7" t="n">
        <v>3</v>
      </c>
      <c r="K118" s="8" t="n">
        <v>3749</v>
      </c>
      <c r="L118" s="9" t="n">
        <v>0.2</v>
      </c>
      <c r="M118" s="8" t="n">
        <v>8584.77</v>
      </c>
      <c r="N118" s="8" t="n">
        <f aca="false">J118*K118*(1-L118)</f>
        <v>8997.6</v>
      </c>
      <c r="O118" s="8" t="n">
        <f aca="false">N118-M118</f>
        <v>412.83</v>
      </c>
      <c r="P118" s="10" t="n">
        <f aca="false">IFERROR(O118/N118,0)</f>
        <v>0.0458822352627367</v>
      </c>
      <c r="Q118" s="7" t="str">
        <f aca="false">TEXT(B118,"mmm")</f>
        <v>Jan</v>
      </c>
      <c r="R118" s="7" t="str">
        <f aca="false">TEXT(B118,"yyyy-mm")</f>
        <v>2024-01</v>
      </c>
    </row>
    <row r="119" customFormat="false" ht="15" hidden="false" customHeight="false" outlineLevel="0" collapsed="false">
      <c r="A119" s="7" t="s">
        <v>448</v>
      </c>
      <c r="B119" s="7" t="s">
        <v>174</v>
      </c>
      <c r="C119" s="7" t="s">
        <v>432</v>
      </c>
      <c r="D119" s="7" t="s">
        <v>154</v>
      </c>
      <c r="E119" s="7" t="s">
        <v>155</v>
      </c>
      <c r="F119" s="7" t="s">
        <v>57</v>
      </c>
      <c r="G119" s="7" t="s">
        <v>81</v>
      </c>
      <c r="H119" s="7" t="s">
        <v>82</v>
      </c>
      <c r="I119" s="7" t="s">
        <v>75</v>
      </c>
      <c r="J119" s="7" t="n">
        <v>6</v>
      </c>
      <c r="K119" s="8" t="n">
        <v>2949</v>
      </c>
      <c r="L119" s="9" t="n">
        <v>0.1</v>
      </c>
      <c r="M119" s="8" t="n">
        <v>9332.34</v>
      </c>
      <c r="N119" s="8" t="n">
        <f aca="false">J119*K119*(1-L119)</f>
        <v>15924.6</v>
      </c>
      <c r="O119" s="8" t="n">
        <f aca="false">N119-M119</f>
        <v>6592.26</v>
      </c>
      <c r="P119" s="10" t="n">
        <f aca="false">IFERROR(O119/N119,0)</f>
        <v>0.41396706981651</v>
      </c>
      <c r="Q119" s="7" t="str">
        <f aca="false">TEXT(B119,"mmm")</f>
        <v>Nov</v>
      </c>
      <c r="R119" s="7" t="str">
        <f aca="false">TEXT(B119,"yyyy-mm")</f>
        <v>2024-11</v>
      </c>
    </row>
    <row r="120" customFormat="false" ht="15" hidden="false" customHeight="false" outlineLevel="0" collapsed="false">
      <c r="A120" s="7" t="s">
        <v>449</v>
      </c>
      <c r="B120" s="7" t="s">
        <v>450</v>
      </c>
      <c r="C120" s="7" t="s">
        <v>451</v>
      </c>
      <c r="D120" s="7" t="s">
        <v>314</v>
      </c>
      <c r="E120" s="7" t="s">
        <v>315</v>
      </c>
      <c r="F120" s="7" t="s">
        <v>64</v>
      </c>
      <c r="G120" s="7" t="s">
        <v>49</v>
      </c>
      <c r="H120" s="7" t="s">
        <v>172</v>
      </c>
      <c r="I120" s="7" t="s">
        <v>75</v>
      </c>
      <c r="J120" s="7" t="n">
        <v>4</v>
      </c>
      <c r="K120" s="8" t="n">
        <v>4059</v>
      </c>
      <c r="L120" s="9" t="n">
        <v>0.15</v>
      </c>
      <c r="M120" s="8" t="n">
        <v>9118.16</v>
      </c>
      <c r="N120" s="8" t="n">
        <f aca="false">J120*K120*(1-L120)</f>
        <v>13800.6</v>
      </c>
      <c r="O120" s="8" t="n">
        <f aca="false">N120-M120</f>
        <v>4682.44</v>
      </c>
      <c r="P120" s="10" t="n">
        <f aca="false">IFERROR(O120/N120,0)</f>
        <v>0.339292494529223</v>
      </c>
      <c r="Q120" s="7" t="str">
        <f aca="false">TEXT(B120,"mmm")</f>
        <v>Mar</v>
      </c>
      <c r="R120" s="7" t="str">
        <f aca="false">TEXT(B120,"yyyy-mm")</f>
        <v>2024-03</v>
      </c>
    </row>
    <row r="121" customFormat="false" ht="15" hidden="false" customHeight="false" outlineLevel="0" collapsed="false">
      <c r="A121" s="7" t="s">
        <v>452</v>
      </c>
      <c r="B121" s="7" t="s">
        <v>453</v>
      </c>
      <c r="C121" s="7" t="s">
        <v>454</v>
      </c>
      <c r="D121" s="7" t="s">
        <v>227</v>
      </c>
      <c r="E121" s="7" t="s">
        <v>228</v>
      </c>
      <c r="F121" s="7" t="s">
        <v>64</v>
      </c>
      <c r="G121" s="7" t="s">
        <v>73</v>
      </c>
      <c r="H121" s="7" t="s">
        <v>115</v>
      </c>
      <c r="I121" s="7" t="s">
        <v>75</v>
      </c>
      <c r="J121" s="7" t="n">
        <v>7</v>
      </c>
      <c r="K121" s="8" t="n">
        <v>5529</v>
      </c>
      <c r="L121" s="9" t="n">
        <v>0</v>
      </c>
      <c r="M121" s="8" t="n">
        <v>21369.04</v>
      </c>
      <c r="N121" s="8" t="n">
        <f aca="false">J121*K121*(1-L121)</f>
        <v>38703</v>
      </c>
      <c r="O121" s="8" t="n">
        <f aca="false">N121-M121</f>
        <v>17333.96</v>
      </c>
      <c r="P121" s="10" t="n">
        <f aca="false">IFERROR(O121/N121,0)</f>
        <v>0.447871224452885</v>
      </c>
      <c r="Q121" s="7" t="str">
        <f aca="false">TEXT(B121,"mmm")</f>
        <v>Sep</v>
      </c>
      <c r="R121" s="7" t="str">
        <f aca="false">TEXT(B121,"yyyy-mm")</f>
        <v>2024-09</v>
      </c>
    </row>
    <row r="122" customFormat="false" ht="15" hidden="false" customHeight="false" outlineLevel="0" collapsed="false">
      <c r="A122" s="7" t="s">
        <v>455</v>
      </c>
      <c r="B122" s="7" t="s">
        <v>456</v>
      </c>
      <c r="C122" s="7" t="s">
        <v>447</v>
      </c>
      <c r="D122" s="7" t="s">
        <v>170</v>
      </c>
      <c r="E122" s="7" t="s">
        <v>171</v>
      </c>
      <c r="F122" s="7" t="s">
        <v>88</v>
      </c>
      <c r="G122" s="7" t="s">
        <v>81</v>
      </c>
      <c r="H122" s="7" t="s">
        <v>186</v>
      </c>
      <c r="I122" s="7" t="s">
        <v>75</v>
      </c>
      <c r="J122" s="7" t="n">
        <v>6</v>
      </c>
      <c r="K122" s="8" t="n">
        <v>5749</v>
      </c>
      <c r="L122" s="9" t="n">
        <v>0.25</v>
      </c>
      <c r="M122" s="8" t="n">
        <v>18946.26</v>
      </c>
      <c r="N122" s="8" t="n">
        <f aca="false">J122*K122*(1-L122)</f>
        <v>25870.5</v>
      </c>
      <c r="O122" s="8" t="n">
        <f aca="false">N122-M122</f>
        <v>6924.24</v>
      </c>
      <c r="P122" s="10" t="n">
        <f aca="false">IFERROR(O122/N122,0)</f>
        <v>0.267650026091494</v>
      </c>
      <c r="Q122" s="7" t="str">
        <f aca="false">TEXT(B122,"mmm")</f>
        <v>Mar</v>
      </c>
      <c r="R122" s="7" t="str">
        <f aca="false">TEXT(B122,"yyyy-mm")</f>
        <v>2024-03</v>
      </c>
    </row>
    <row r="123" customFormat="false" ht="15" hidden="false" customHeight="false" outlineLevel="0" collapsed="false">
      <c r="A123" s="7" t="s">
        <v>457</v>
      </c>
      <c r="B123" s="7" t="s">
        <v>458</v>
      </c>
      <c r="C123" s="7" t="s">
        <v>416</v>
      </c>
      <c r="D123" s="7" t="s">
        <v>459</v>
      </c>
      <c r="E123" s="7" t="s">
        <v>460</v>
      </c>
      <c r="F123" s="7" t="s">
        <v>64</v>
      </c>
      <c r="G123" s="7" t="s">
        <v>81</v>
      </c>
      <c r="H123" s="7" t="s">
        <v>109</v>
      </c>
      <c r="I123" s="7" t="s">
        <v>75</v>
      </c>
      <c r="J123" s="7" t="n">
        <v>3</v>
      </c>
      <c r="K123" s="8" t="n">
        <v>1520</v>
      </c>
      <c r="L123" s="9" t="n">
        <v>0.15</v>
      </c>
      <c r="M123" s="8" t="n">
        <v>2657.13</v>
      </c>
      <c r="N123" s="8" t="n">
        <f aca="false">J123*K123*(1-L123)</f>
        <v>3876</v>
      </c>
      <c r="O123" s="8" t="n">
        <f aca="false">N123-M123</f>
        <v>1218.87</v>
      </c>
      <c r="P123" s="10" t="n">
        <f aca="false">IFERROR(O123/N123,0)</f>
        <v>0.314465944272446</v>
      </c>
      <c r="Q123" s="7" t="str">
        <f aca="false">TEXT(B123,"mmm")</f>
        <v>Jun</v>
      </c>
      <c r="R123" s="7" t="str">
        <f aca="false">TEXT(B123,"yyyy-mm")</f>
        <v>2024-06</v>
      </c>
    </row>
    <row r="124" customFormat="false" ht="15" hidden="false" customHeight="false" outlineLevel="0" collapsed="false">
      <c r="A124" s="7" t="s">
        <v>461</v>
      </c>
      <c r="B124" s="7" t="s">
        <v>462</v>
      </c>
      <c r="C124" s="7" t="s">
        <v>463</v>
      </c>
      <c r="D124" s="7" t="s">
        <v>464</v>
      </c>
      <c r="E124" s="7" t="s">
        <v>465</v>
      </c>
      <c r="F124" s="7" t="s">
        <v>48</v>
      </c>
      <c r="G124" s="7" t="s">
        <v>49</v>
      </c>
      <c r="H124" s="7" t="s">
        <v>172</v>
      </c>
      <c r="I124" s="7" t="s">
        <v>51</v>
      </c>
      <c r="J124" s="7" t="n">
        <v>2</v>
      </c>
      <c r="K124" s="8" t="n">
        <v>799</v>
      </c>
      <c r="L124" s="9" t="n">
        <v>0.9</v>
      </c>
      <c r="M124" s="8" t="n">
        <v>827.96</v>
      </c>
      <c r="N124" s="8" t="n">
        <f aca="false">J124*K124*(1-L124)</f>
        <v>159.8</v>
      </c>
      <c r="O124" s="8" t="n">
        <f aca="false">N124-M124</f>
        <v>-668.16</v>
      </c>
      <c r="P124" s="10" t="n">
        <f aca="false">IFERROR(O124/N124,0)</f>
        <v>-4.18122653316646</v>
      </c>
      <c r="Q124" s="7" t="str">
        <f aca="false">TEXT(B124,"mmm")</f>
        <v>Feb</v>
      </c>
      <c r="R124" s="7" t="str">
        <f aca="false">TEXT(B124,"yyyy-mm")</f>
        <v>2024-02</v>
      </c>
    </row>
    <row r="125" customFormat="false" ht="15" hidden="false" customHeight="false" outlineLevel="0" collapsed="false">
      <c r="A125" s="7" t="s">
        <v>466</v>
      </c>
      <c r="B125" s="7" t="s">
        <v>446</v>
      </c>
      <c r="C125" s="7" t="s">
        <v>467</v>
      </c>
      <c r="D125" s="7" t="s">
        <v>360</v>
      </c>
      <c r="E125" s="7" t="s">
        <v>361</v>
      </c>
      <c r="F125" s="7" t="s">
        <v>48</v>
      </c>
      <c r="G125" s="7" t="s">
        <v>49</v>
      </c>
      <c r="H125" s="7" t="s">
        <v>58</v>
      </c>
      <c r="I125" s="7" t="s">
        <v>51</v>
      </c>
      <c r="J125" s="7" t="n">
        <v>3</v>
      </c>
      <c r="K125" s="8" t="n">
        <v>679</v>
      </c>
      <c r="L125" s="9" t="n">
        <v>0.2</v>
      </c>
      <c r="M125" s="8" t="n">
        <v>1382.1</v>
      </c>
      <c r="N125" s="8" t="n">
        <f aca="false">J125*K125*(1-L125)</f>
        <v>1629.6</v>
      </c>
      <c r="O125" s="8" t="n">
        <f aca="false">N125-M125</f>
        <v>247.5</v>
      </c>
      <c r="P125" s="10" t="n">
        <f aca="false">IFERROR(O125/N125,0)</f>
        <v>0.151877761413844</v>
      </c>
      <c r="Q125" s="7" t="str">
        <f aca="false">TEXT(B125,"mmm")</f>
        <v>Jan</v>
      </c>
      <c r="R125" s="7" t="str">
        <f aca="false">TEXT(B125,"yyyy-mm")</f>
        <v>2024-01</v>
      </c>
    </row>
    <row r="126" customFormat="false" ht="15" hidden="false" customHeight="false" outlineLevel="0" collapsed="false">
      <c r="A126" s="7" t="s">
        <v>468</v>
      </c>
      <c r="B126" s="7" t="s">
        <v>469</v>
      </c>
      <c r="C126" s="7" t="s">
        <v>470</v>
      </c>
      <c r="D126" s="7" t="s">
        <v>144</v>
      </c>
      <c r="E126" s="7" t="s">
        <v>145</v>
      </c>
      <c r="F126" s="7" t="s">
        <v>48</v>
      </c>
      <c r="G126" s="7" t="s">
        <v>73</v>
      </c>
      <c r="H126" s="7" t="s">
        <v>115</v>
      </c>
      <c r="I126" s="7" t="s">
        <v>51</v>
      </c>
      <c r="J126" s="7" t="n">
        <v>6</v>
      </c>
      <c r="K126" s="8" t="n">
        <v>5149</v>
      </c>
      <c r="L126" s="9" t="n">
        <v>0.15</v>
      </c>
      <c r="M126" s="8" t="n">
        <v>13034.88</v>
      </c>
      <c r="N126" s="8" t="n">
        <f aca="false">J126*K126*(1-L126)</f>
        <v>26259.9</v>
      </c>
      <c r="O126" s="8" t="n">
        <f aca="false">N126-M126</f>
        <v>13225.02</v>
      </c>
      <c r="P126" s="10" t="n">
        <f aca="false">IFERROR(O126/N126,0)</f>
        <v>0.503620348896987</v>
      </c>
      <c r="Q126" s="7" t="str">
        <f aca="false">TEXT(B126,"mmm")</f>
        <v>Nov</v>
      </c>
      <c r="R126" s="7" t="str">
        <f aca="false">TEXT(B126,"yyyy-mm")</f>
        <v>2024-11</v>
      </c>
    </row>
    <row r="127" customFormat="false" ht="15" hidden="false" customHeight="false" outlineLevel="0" collapsed="false">
      <c r="A127" s="7" t="s">
        <v>471</v>
      </c>
      <c r="B127" s="7" t="s">
        <v>458</v>
      </c>
      <c r="C127" s="7" t="s">
        <v>191</v>
      </c>
      <c r="D127" s="7" t="s">
        <v>79</v>
      </c>
      <c r="E127" s="7" t="s">
        <v>80</v>
      </c>
      <c r="F127" s="7" t="s">
        <v>72</v>
      </c>
      <c r="G127" s="7" t="s">
        <v>49</v>
      </c>
      <c r="H127" s="7" t="s">
        <v>100</v>
      </c>
      <c r="I127" s="7" t="s">
        <v>51</v>
      </c>
      <c r="J127" s="7" t="n">
        <v>2</v>
      </c>
      <c r="K127" s="8" t="n">
        <v>4769</v>
      </c>
      <c r="L127" s="9" t="n">
        <v>0</v>
      </c>
      <c r="M127" s="8" t="n">
        <v>5449.62</v>
      </c>
      <c r="N127" s="8" t="n">
        <f aca="false">J127*K127*(1-L127)</f>
        <v>9538</v>
      </c>
      <c r="O127" s="8" t="n">
        <f aca="false">N127-M127</f>
        <v>4088.38</v>
      </c>
      <c r="P127" s="10" t="n">
        <f aca="false">IFERROR(O127/N127,0)</f>
        <v>0.428641224575383</v>
      </c>
      <c r="Q127" s="7" t="str">
        <f aca="false">TEXT(B127,"mmm")</f>
        <v>Jun</v>
      </c>
      <c r="R127" s="7" t="str">
        <f aca="false">TEXT(B127,"yyyy-mm")</f>
        <v>2024-06</v>
      </c>
    </row>
    <row r="128" customFormat="false" ht="15" hidden="false" customHeight="false" outlineLevel="0" collapsed="false">
      <c r="A128" s="7" t="s">
        <v>472</v>
      </c>
      <c r="B128" s="7" t="s">
        <v>473</v>
      </c>
      <c r="C128" s="7" t="s">
        <v>454</v>
      </c>
      <c r="D128" s="7" t="s">
        <v>119</v>
      </c>
      <c r="E128" s="7" t="s">
        <v>120</v>
      </c>
      <c r="F128" s="7" t="s">
        <v>88</v>
      </c>
      <c r="G128" s="7" t="s">
        <v>65</v>
      </c>
      <c r="H128" s="7" t="s">
        <v>106</v>
      </c>
      <c r="I128" s="7" t="s">
        <v>51</v>
      </c>
      <c r="J128" s="7" t="n">
        <v>5</v>
      </c>
      <c r="K128" s="8" t="n">
        <v>620</v>
      </c>
      <c r="L128" s="9" t="n">
        <v>0.05</v>
      </c>
      <c r="M128" s="8" t="n">
        <v>2272.75</v>
      </c>
      <c r="N128" s="8" t="n">
        <f aca="false">J128*K128*(1-L128)</f>
        <v>2945</v>
      </c>
      <c r="O128" s="8" t="n">
        <f aca="false">N128-M128</f>
        <v>672.25</v>
      </c>
      <c r="P128" s="10" t="n">
        <f aca="false">IFERROR(O128/N128,0)</f>
        <v>0.228268251273345</v>
      </c>
      <c r="Q128" s="7" t="str">
        <f aca="false">TEXT(B128,"mmm")</f>
        <v>Aug</v>
      </c>
      <c r="R128" s="7" t="str">
        <f aca="false">TEXT(B128,"yyyy-mm")</f>
        <v>2024-08</v>
      </c>
    </row>
    <row r="129" customFormat="false" ht="15" hidden="false" customHeight="false" outlineLevel="0" collapsed="false">
      <c r="A129" s="7" t="s">
        <v>474</v>
      </c>
      <c r="B129" s="7" t="s">
        <v>475</v>
      </c>
      <c r="C129" s="7" t="s">
        <v>158</v>
      </c>
      <c r="D129" s="7" t="s">
        <v>260</v>
      </c>
      <c r="E129" s="7" t="s">
        <v>261</v>
      </c>
      <c r="F129" s="7" t="s">
        <v>72</v>
      </c>
      <c r="G129" s="7" t="s">
        <v>81</v>
      </c>
      <c r="H129" s="7" t="s">
        <v>109</v>
      </c>
      <c r="I129" s="7" t="s">
        <v>75</v>
      </c>
      <c r="J129" s="7" t="n">
        <v>8</v>
      </c>
      <c r="K129" s="8" t="n">
        <v>4879</v>
      </c>
      <c r="L129" s="9" t="n">
        <v>0.25</v>
      </c>
      <c r="M129" s="8" t="n">
        <v>19469.84</v>
      </c>
      <c r="N129" s="8" t="n">
        <f aca="false">J129*K129*(1-L129)</f>
        <v>29274</v>
      </c>
      <c r="O129" s="8" t="n">
        <f aca="false">N129-M129</f>
        <v>9804.16</v>
      </c>
      <c r="P129" s="10" t="n">
        <f aca="false">IFERROR(O129/N129,0)</f>
        <v>0.334910159185625</v>
      </c>
      <c r="Q129" s="7" t="str">
        <f aca="false">TEXT(B129,"mmm")</f>
        <v>Oct</v>
      </c>
      <c r="R129" s="7" t="str">
        <f aca="false">TEXT(B129,"yyyy-mm")</f>
        <v>2024-10</v>
      </c>
    </row>
    <row r="130" customFormat="false" ht="15" hidden="false" customHeight="false" outlineLevel="0" collapsed="false">
      <c r="A130" s="7" t="s">
        <v>476</v>
      </c>
      <c r="B130" s="7" t="s">
        <v>477</v>
      </c>
      <c r="C130" s="7" t="s">
        <v>478</v>
      </c>
      <c r="D130" s="7" t="s">
        <v>55</v>
      </c>
      <c r="E130" s="7" t="s">
        <v>56</v>
      </c>
      <c r="F130" s="7" t="s">
        <v>57</v>
      </c>
      <c r="G130" s="7" t="s">
        <v>73</v>
      </c>
      <c r="H130" s="7" t="s">
        <v>115</v>
      </c>
      <c r="I130" s="7" t="s">
        <v>51</v>
      </c>
      <c r="J130" s="7" t="n">
        <v>4</v>
      </c>
      <c r="K130" s="8" t="n">
        <v>2850</v>
      </c>
      <c r="L130" s="9" t="n">
        <v>0.2</v>
      </c>
      <c r="M130" s="8" t="n">
        <v>8512.6</v>
      </c>
      <c r="N130" s="8" t="n">
        <f aca="false">J130*K130*(1-L130)</f>
        <v>9120</v>
      </c>
      <c r="O130" s="8" t="n">
        <f aca="false">N130-M130</f>
        <v>607.4</v>
      </c>
      <c r="P130" s="10" t="n">
        <f aca="false">IFERROR(O130/N130,0)</f>
        <v>0.0666008771929824</v>
      </c>
      <c r="Q130" s="7" t="str">
        <f aca="false">TEXT(B130,"mmm")</f>
        <v>Mar</v>
      </c>
      <c r="R130" s="7" t="str">
        <f aca="false">TEXT(B130,"yyyy-mm")</f>
        <v>2024-03</v>
      </c>
    </row>
    <row r="131" customFormat="false" ht="15" hidden="false" customHeight="false" outlineLevel="0" collapsed="false">
      <c r="A131" s="7" t="s">
        <v>479</v>
      </c>
      <c r="B131" s="7" t="s">
        <v>222</v>
      </c>
      <c r="C131" s="7" t="s">
        <v>196</v>
      </c>
      <c r="D131" s="7" t="s">
        <v>227</v>
      </c>
      <c r="E131" s="7" t="s">
        <v>228</v>
      </c>
      <c r="F131" s="7" t="s">
        <v>64</v>
      </c>
      <c r="G131" s="7" t="s">
        <v>73</v>
      </c>
      <c r="H131" s="7" t="s">
        <v>115</v>
      </c>
      <c r="I131" s="7" t="s">
        <v>75</v>
      </c>
      <c r="J131" s="7" t="n">
        <v>4</v>
      </c>
      <c r="K131" s="8" t="n">
        <v>5529</v>
      </c>
      <c r="L131" s="9" t="n">
        <v>0.25</v>
      </c>
      <c r="M131" s="8" t="n">
        <v>12210.88</v>
      </c>
      <c r="N131" s="8" t="n">
        <f aca="false">J131*K131*(1-L131)</f>
        <v>16587</v>
      </c>
      <c r="O131" s="8" t="n">
        <f aca="false">N131-M131</f>
        <v>4376.12</v>
      </c>
      <c r="P131" s="10" t="n">
        <f aca="false">IFERROR(O131/N131,0)</f>
        <v>0.263828299270513</v>
      </c>
      <c r="Q131" s="7" t="str">
        <f aca="false">TEXT(B131,"mmm")</f>
        <v>Jul</v>
      </c>
      <c r="R131" s="7" t="str">
        <f aca="false">TEXT(B131,"yyyy-mm")</f>
        <v>2024-07</v>
      </c>
    </row>
    <row r="132" customFormat="false" ht="15" hidden="false" customHeight="false" outlineLevel="0" collapsed="false">
      <c r="A132" s="7" t="s">
        <v>480</v>
      </c>
      <c r="B132" s="7" t="s">
        <v>277</v>
      </c>
      <c r="C132" s="7" t="s">
        <v>419</v>
      </c>
      <c r="D132" s="7" t="s">
        <v>314</v>
      </c>
      <c r="E132" s="7" t="s">
        <v>315</v>
      </c>
      <c r="F132" s="7" t="s">
        <v>64</v>
      </c>
      <c r="G132" s="7" t="s">
        <v>73</v>
      </c>
      <c r="H132" s="7" t="s">
        <v>74</v>
      </c>
      <c r="I132" s="7" t="s">
        <v>51</v>
      </c>
      <c r="J132" s="7" t="n">
        <v>4</v>
      </c>
      <c r="K132" s="8" t="n">
        <v>4059</v>
      </c>
      <c r="L132" s="9" t="n">
        <v>0</v>
      </c>
      <c r="M132" s="8" t="n">
        <v>9118.16</v>
      </c>
      <c r="N132" s="8" t="n">
        <f aca="false">J132*K132*(1-L132)</f>
        <v>16236</v>
      </c>
      <c r="O132" s="8" t="n">
        <f aca="false">N132-M132</f>
        <v>7117.84</v>
      </c>
      <c r="P132" s="10" t="n">
        <f aca="false">IFERROR(O132/N132,0)</f>
        <v>0.43839862034984</v>
      </c>
      <c r="Q132" s="7" t="str">
        <f aca="false">TEXT(B132,"mmm")</f>
        <v>May</v>
      </c>
      <c r="R132" s="7" t="str">
        <f aca="false">TEXT(B132,"yyyy-mm")</f>
        <v>2024-05</v>
      </c>
    </row>
    <row r="133" customFormat="false" ht="15" hidden="false" customHeight="false" outlineLevel="0" collapsed="false">
      <c r="A133" s="7" t="s">
        <v>481</v>
      </c>
      <c r="B133" s="7" t="s">
        <v>271</v>
      </c>
      <c r="C133" s="7" t="s">
        <v>419</v>
      </c>
      <c r="D133" s="7" t="s">
        <v>154</v>
      </c>
      <c r="E133" s="7" t="s">
        <v>155</v>
      </c>
      <c r="F133" s="7" t="s">
        <v>57</v>
      </c>
      <c r="G133" s="7" t="s">
        <v>81</v>
      </c>
      <c r="H133" s="7" t="s">
        <v>186</v>
      </c>
      <c r="I133" s="7" t="s">
        <v>75</v>
      </c>
      <c r="J133" s="7" t="n">
        <v>9</v>
      </c>
      <c r="K133" s="8" t="n">
        <v>2949</v>
      </c>
      <c r="L133" s="9" t="n">
        <v>0.25</v>
      </c>
      <c r="M133" s="8" t="n">
        <v>13998.51</v>
      </c>
      <c r="N133" s="8" t="n">
        <f aca="false">J133*K133*(1-L133)</f>
        <v>19905.75</v>
      </c>
      <c r="O133" s="8" t="n">
        <f aca="false">N133-M133</f>
        <v>5907.24</v>
      </c>
      <c r="P133" s="10" t="n">
        <f aca="false">IFERROR(O133/N133,0)</f>
        <v>0.296760483779812</v>
      </c>
      <c r="Q133" s="7" t="str">
        <f aca="false">TEXT(B133,"mmm")</f>
        <v>May</v>
      </c>
      <c r="R133" s="7" t="str">
        <f aca="false">TEXT(B133,"yyyy-mm")</f>
        <v>2024-05</v>
      </c>
    </row>
    <row r="134" customFormat="false" ht="15" hidden="false" customHeight="false" outlineLevel="0" collapsed="false">
      <c r="A134" s="7" t="s">
        <v>482</v>
      </c>
      <c r="B134" s="7" t="s">
        <v>444</v>
      </c>
      <c r="C134" s="7" t="s">
        <v>483</v>
      </c>
      <c r="D134" s="7" t="s">
        <v>215</v>
      </c>
      <c r="E134" s="7" t="s">
        <v>216</v>
      </c>
      <c r="F134" s="7" t="s">
        <v>57</v>
      </c>
      <c r="G134" s="7" t="s">
        <v>49</v>
      </c>
      <c r="H134" s="7" t="s">
        <v>100</v>
      </c>
      <c r="I134" s="7" t="s">
        <v>51</v>
      </c>
      <c r="J134" s="7" t="n">
        <v>7</v>
      </c>
      <c r="K134" s="8" t="n">
        <v>3749</v>
      </c>
      <c r="L134" s="9" t="n">
        <v>0</v>
      </c>
      <c r="M134" s="8" t="n">
        <v>20031.13</v>
      </c>
      <c r="N134" s="8" t="n">
        <f aca="false">J134*K134*(1-L134)</f>
        <v>26243</v>
      </c>
      <c r="O134" s="8" t="n">
        <f aca="false">N134-M134</f>
        <v>6211.87</v>
      </c>
      <c r="P134" s="10" t="n">
        <f aca="false">IFERROR(O134/N134,0)</f>
        <v>0.236705788210189</v>
      </c>
      <c r="Q134" s="7" t="str">
        <f aca="false">TEXT(B134,"mmm")</f>
        <v>Aug</v>
      </c>
      <c r="R134" s="7" t="str">
        <f aca="false">TEXT(B134,"yyyy-mm")</f>
        <v>2024-08</v>
      </c>
    </row>
    <row r="135" customFormat="false" ht="15" hidden="false" customHeight="false" outlineLevel="0" collapsed="false">
      <c r="A135" s="7" t="s">
        <v>484</v>
      </c>
      <c r="B135" s="7" t="s">
        <v>485</v>
      </c>
      <c r="C135" s="7" t="s">
        <v>335</v>
      </c>
      <c r="D135" s="7" t="s">
        <v>70</v>
      </c>
      <c r="E135" s="7" t="s">
        <v>71</v>
      </c>
      <c r="F135" s="7" t="s">
        <v>72</v>
      </c>
      <c r="G135" s="7" t="s">
        <v>65</v>
      </c>
      <c r="H135" s="7" t="s">
        <v>66</v>
      </c>
      <c r="I135" s="7" t="s">
        <v>51</v>
      </c>
      <c r="J135" s="7" t="n">
        <v>1</v>
      </c>
      <c r="K135" s="8" t="n">
        <v>3059</v>
      </c>
      <c r="L135" s="9" t="n">
        <v>0</v>
      </c>
      <c r="M135" s="8" t="n">
        <v>1606.46</v>
      </c>
      <c r="N135" s="8" t="n">
        <f aca="false">J135*K135*(1-L135)</f>
        <v>3059</v>
      </c>
      <c r="O135" s="8" t="n">
        <f aca="false">N135-M135</f>
        <v>1452.54</v>
      </c>
      <c r="P135" s="10" t="n">
        <f aca="false">IFERROR(O135/N135,0)</f>
        <v>0.474841451454724</v>
      </c>
      <c r="Q135" s="7" t="str">
        <f aca="false">TEXT(B135,"mmm")</f>
        <v>Jul</v>
      </c>
      <c r="R135" s="7" t="str">
        <f aca="false">TEXT(B135,"yyyy-mm")</f>
        <v>2024-07</v>
      </c>
    </row>
    <row r="136" customFormat="false" ht="15" hidden="false" customHeight="false" outlineLevel="0" collapsed="false">
      <c r="A136" s="7" t="s">
        <v>486</v>
      </c>
      <c r="B136" s="7" t="s">
        <v>446</v>
      </c>
      <c r="C136" s="7" t="s">
        <v>467</v>
      </c>
      <c r="D136" s="7" t="s">
        <v>55</v>
      </c>
      <c r="E136" s="7" t="s">
        <v>56</v>
      </c>
      <c r="F136" s="7" t="s">
        <v>57</v>
      </c>
      <c r="G136" s="7" t="s">
        <v>49</v>
      </c>
      <c r="H136" s="7" t="s">
        <v>58</v>
      </c>
      <c r="I136" s="7" t="s">
        <v>51</v>
      </c>
      <c r="J136" s="7" t="n">
        <v>5</v>
      </c>
      <c r="K136" s="8" t="n">
        <v>2850</v>
      </c>
      <c r="L136" s="9" t="n">
        <v>0</v>
      </c>
      <c r="M136" s="8" t="n">
        <v>10640.75</v>
      </c>
      <c r="N136" s="8" t="n">
        <f aca="false">J136*K136*(1-L136)</f>
        <v>14250</v>
      </c>
      <c r="O136" s="8" t="n">
        <f aca="false">N136-M136</f>
        <v>3609.25</v>
      </c>
      <c r="P136" s="10" t="n">
        <f aca="false">IFERROR(O136/N136,0)</f>
        <v>0.253280701754386</v>
      </c>
      <c r="Q136" s="7" t="str">
        <f aca="false">TEXT(B136,"mmm")</f>
        <v>Jan</v>
      </c>
      <c r="R136" s="7" t="str">
        <f aca="false">TEXT(B136,"yyyy-mm")</f>
        <v>2024-01</v>
      </c>
    </row>
    <row r="137" customFormat="false" ht="15" hidden="false" customHeight="false" outlineLevel="0" collapsed="false">
      <c r="A137" s="7" t="s">
        <v>487</v>
      </c>
      <c r="B137" s="7" t="s">
        <v>458</v>
      </c>
      <c r="C137" s="7" t="s">
        <v>325</v>
      </c>
      <c r="D137" s="7" t="s">
        <v>170</v>
      </c>
      <c r="E137" s="7" t="s">
        <v>171</v>
      </c>
      <c r="F137" s="7" t="s">
        <v>88</v>
      </c>
      <c r="G137" s="7" t="s">
        <v>49</v>
      </c>
      <c r="H137" s="7" t="s">
        <v>58</v>
      </c>
      <c r="I137" s="7" t="s">
        <v>51</v>
      </c>
      <c r="J137" s="7" t="n">
        <v>3</v>
      </c>
      <c r="K137" s="8" t="n">
        <v>5749</v>
      </c>
      <c r="L137" s="9" t="n">
        <v>0.05</v>
      </c>
      <c r="M137" s="8" t="n">
        <v>9473.13</v>
      </c>
      <c r="N137" s="8" t="n">
        <f aca="false">J137*K137*(1-L137)</f>
        <v>16384.65</v>
      </c>
      <c r="O137" s="8" t="n">
        <f aca="false">N137-M137</f>
        <v>6911.52</v>
      </c>
      <c r="P137" s="10" t="n">
        <f aca="false">IFERROR(O137/N137,0)</f>
        <v>0.421828967966969</v>
      </c>
      <c r="Q137" s="7" t="str">
        <f aca="false">TEXT(B137,"mmm")</f>
        <v>Jun</v>
      </c>
      <c r="R137" s="7" t="str">
        <f aca="false">TEXT(B137,"yyyy-mm")</f>
        <v>2024-06</v>
      </c>
    </row>
    <row r="138" customFormat="false" ht="15" hidden="false" customHeight="false" outlineLevel="0" collapsed="false">
      <c r="A138" s="7" t="s">
        <v>488</v>
      </c>
      <c r="B138" s="7" t="s">
        <v>117</v>
      </c>
      <c r="C138" s="7" t="s">
        <v>489</v>
      </c>
      <c r="D138" s="7" t="s">
        <v>119</v>
      </c>
      <c r="E138" s="7" t="s">
        <v>120</v>
      </c>
      <c r="F138" s="7" t="s">
        <v>88</v>
      </c>
      <c r="G138" s="7" t="s">
        <v>65</v>
      </c>
      <c r="H138" s="7" t="s">
        <v>126</v>
      </c>
      <c r="I138" s="7" t="s">
        <v>51</v>
      </c>
      <c r="J138" s="7" t="n">
        <v>2</v>
      </c>
      <c r="K138" s="8" t="n">
        <v>620</v>
      </c>
      <c r="L138" s="9" t="n">
        <v>0</v>
      </c>
      <c r="M138" s="8" t="n">
        <v>909.1</v>
      </c>
      <c r="N138" s="8" t="n">
        <f aca="false">J138*K138*(1-L138)</f>
        <v>1240</v>
      </c>
      <c r="O138" s="8" t="n">
        <f aca="false">N138-M138</f>
        <v>330.9</v>
      </c>
      <c r="P138" s="10" t="n">
        <f aca="false">IFERROR(O138/N138,0)</f>
        <v>0.266854838709677</v>
      </c>
      <c r="Q138" s="7" t="str">
        <f aca="false">TEXT(B138,"mmm")</f>
        <v>Jun</v>
      </c>
      <c r="R138" s="7" t="str">
        <f aca="false">TEXT(B138,"yyyy-mm")</f>
        <v>2024-06</v>
      </c>
    </row>
    <row r="139" customFormat="false" ht="15" hidden="false" customHeight="false" outlineLevel="0" collapsed="false">
      <c r="A139" s="7" t="s">
        <v>490</v>
      </c>
      <c r="B139" s="7" t="s">
        <v>491</v>
      </c>
      <c r="C139" s="7" t="s">
        <v>118</v>
      </c>
      <c r="D139" s="7" t="s">
        <v>360</v>
      </c>
      <c r="E139" s="7" t="s">
        <v>361</v>
      </c>
      <c r="F139" s="7" t="s">
        <v>48</v>
      </c>
      <c r="G139" s="7" t="s">
        <v>49</v>
      </c>
      <c r="H139" s="7" t="s">
        <v>100</v>
      </c>
      <c r="I139" s="7" t="s">
        <v>75</v>
      </c>
      <c r="J139" s="7" t="n">
        <v>3</v>
      </c>
      <c r="K139" s="8" t="n">
        <v>679</v>
      </c>
      <c r="L139" s="9" t="n">
        <v>0</v>
      </c>
      <c r="M139" s="8" t="n">
        <v>1382.1</v>
      </c>
      <c r="N139" s="8" t="n">
        <f aca="false">J139*K139*(1-L139)</f>
        <v>2037</v>
      </c>
      <c r="O139" s="8" t="n">
        <f aca="false">N139-M139</f>
        <v>654.9</v>
      </c>
      <c r="P139" s="10" t="n">
        <f aca="false">IFERROR(O139/N139,0)</f>
        <v>0.321502209131075</v>
      </c>
      <c r="Q139" s="7" t="str">
        <f aca="false">TEXT(B139,"mmm")</f>
        <v>Apr</v>
      </c>
      <c r="R139" s="7" t="str">
        <f aca="false">TEXT(B139,"yyyy-mm")</f>
        <v>2024-04</v>
      </c>
    </row>
    <row r="140" customFormat="false" ht="15" hidden="false" customHeight="false" outlineLevel="0" collapsed="false">
      <c r="A140" s="7" t="s">
        <v>492</v>
      </c>
      <c r="B140" s="7" t="s">
        <v>382</v>
      </c>
      <c r="C140" s="7" t="s">
        <v>99</v>
      </c>
      <c r="D140" s="7" t="s">
        <v>459</v>
      </c>
      <c r="E140" s="7" t="s">
        <v>460</v>
      </c>
      <c r="F140" s="7" t="s">
        <v>64</v>
      </c>
      <c r="G140" s="7" t="s">
        <v>81</v>
      </c>
      <c r="H140" s="7" t="s">
        <v>82</v>
      </c>
      <c r="I140" s="7" t="s">
        <v>51</v>
      </c>
      <c r="J140" s="7" t="n">
        <v>5</v>
      </c>
      <c r="K140" s="8" t="n">
        <v>1520</v>
      </c>
      <c r="L140" s="9" t="n">
        <v>0</v>
      </c>
      <c r="M140" s="8" t="n">
        <v>4428.55</v>
      </c>
      <c r="N140" s="8" t="n">
        <f aca="false">J140*K140*(1-L140)</f>
        <v>7600</v>
      </c>
      <c r="O140" s="8" t="n">
        <f aca="false">N140-M140</f>
        <v>3171.45</v>
      </c>
      <c r="P140" s="10" t="n">
        <f aca="false">IFERROR(O140/N140,0)</f>
        <v>0.417296052631579</v>
      </c>
      <c r="Q140" s="7" t="str">
        <f aca="false">TEXT(B140,"mmm")</f>
        <v>May</v>
      </c>
      <c r="R140" s="7" t="str">
        <f aca="false">TEXT(B140,"yyyy-mm")</f>
        <v>2024-05</v>
      </c>
    </row>
    <row r="141" customFormat="false" ht="15" hidden="false" customHeight="false" outlineLevel="0" collapsed="false">
      <c r="A141" s="7" t="s">
        <v>493</v>
      </c>
      <c r="B141" s="7" t="s">
        <v>338</v>
      </c>
      <c r="C141" s="7" t="s">
        <v>489</v>
      </c>
      <c r="D141" s="7" t="s">
        <v>119</v>
      </c>
      <c r="E141" s="7" t="s">
        <v>120</v>
      </c>
      <c r="F141" s="7" t="s">
        <v>88</v>
      </c>
      <c r="G141" s="7" t="s">
        <v>49</v>
      </c>
      <c r="H141" s="7" t="s">
        <v>50</v>
      </c>
      <c r="I141" s="7" t="s">
        <v>75</v>
      </c>
      <c r="J141" s="7" t="n">
        <v>5</v>
      </c>
      <c r="K141" s="8" t="n">
        <v>620</v>
      </c>
      <c r="L141" s="9" t="n">
        <v>0.25</v>
      </c>
      <c r="M141" s="8" t="n">
        <v>2272.75</v>
      </c>
      <c r="N141" s="8" t="n">
        <f aca="false">J141*K141*(1-L141)</f>
        <v>2325</v>
      </c>
      <c r="O141" s="8" t="n">
        <f aca="false">N141-M141</f>
        <v>52.25</v>
      </c>
      <c r="P141" s="10" t="n">
        <f aca="false">IFERROR(O141/N141,0)</f>
        <v>0.0224731182795699</v>
      </c>
      <c r="Q141" s="7" t="str">
        <f aca="false">TEXT(B141,"mmm")</f>
        <v>Feb</v>
      </c>
      <c r="R141" s="7" t="str">
        <f aca="false">TEXT(B141,"yyyy-mm")</f>
        <v>2024-02</v>
      </c>
    </row>
    <row r="142" customFormat="false" ht="15" hidden="false" customHeight="false" outlineLevel="0" collapsed="false">
      <c r="A142" s="7" t="s">
        <v>494</v>
      </c>
      <c r="B142" s="7" t="s">
        <v>495</v>
      </c>
      <c r="C142" s="7" t="s">
        <v>99</v>
      </c>
      <c r="D142" s="7" t="s">
        <v>206</v>
      </c>
      <c r="E142" s="7" t="s">
        <v>207</v>
      </c>
      <c r="F142" s="7" t="s">
        <v>88</v>
      </c>
      <c r="G142" s="7" t="s">
        <v>73</v>
      </c>
      <c r="H142" s="7" t="s">
        <v>115</v>
      </c>
      <c r="I142" s="7" t="s">
        <v>51</v>
      </c>
      <c r="J142" s="7" t="n">
        <v>1</v>
      </c>
      <c r="K142" s="8" t="n">
        <v>1029</v>
      </c>
      <c r="L142" s="9" t="n">
        <v>0</v>
      </c>
      <c r="M142" s="8" t="n">
        <v>628.62</v>
      </c>
      <c r="N142" s="8" t="n">
        <f aca="false">J142*K142*(1-L142)</f>
        <v>1029</v>
      </c>
      <c r="O142" s="8" t="n">
        <f aca="false">N142-M142</f>
        <v>400.38</v>
      </c>
      <c r="P142" s="10" t="n">
        <f aca="false">IFERROR(O142/N142,0)</f>
        <v>0.389096209912536</v>
      </c>
      <c r="Q142" s="7" t="str">
        <f aca="false">TEXT(B142,"mmm")</f>
        <v>Jul</v>
      </c>
      <c r="R142" s="7" t="str">
        <f aca="false">TEXT(B142,"yyyy-mm")</f>
        <v>2024-07</v>
      </c>
    </row>
    <row r="143" customFormat="false" ht="15" hidden="false" customHeight="false" outlineLevel="0" collapsed="false">
      <c r="A143" s="7" t="s">
        <v>496</v>
      </c>
      <c r="B143" s="7" t="s">
        <v>274</v>
      </c>
      <c r="C143" s="7" t="s">
        <v>313</v>
      </c>
      <c r="D143" s="7" t="s">
        <v>170</v>
      </c>
      <c r="E143" s="7" t="s">
        <v>171</v>
      </c>
      <c r="F143" s="7" t="s">
        <v>88</v>
      </c>
      <c r="G143" s="7" t="s">
        <v>49</v>
      </c>
      <c r="H143" s="7" t="s">
        <v>58</v>
      </c>
      <c r="I143" s="7" t="s">
        <v>75</v>
      </c>
      <c r="J143" s="7" t="n">
        <v>3</v>
      </c>
      <c r="K143" s="8" t="n">
        <v>5749</v>
      </c>
      <c r="L143" s="9" t="n">
        <v>0</v>
      </c>
      <c r="M143" s="8" t="n">
        <v>9473.13</v>
      </c>
      <c r="N143" s="8" t="n">
        <f aca="false">J143*K143*(1-L143)</f>
        <v>17247</v>
      </c>
      <c r="O143" s="8" t="n">
        <f aca="false">N143-M143</f>
        <v>7773.87</v>
      </c>
      <c r="P143" s="10" t="n">
        <f aca="false">IFERROR(O143/N143,0)</f>
        <v>0.450737519568621</v>
      </c>
      <c r="Q143" s="7" t="str">
        <f aca="false">TEXT(B143,"mmm")</f>
        <v>Dec</v>
      </c>
      <c r="R143" s="7" t="str">
        <f aca="false">TEXT(B143,"yyyy-mm")</f>
        <v>2024-12</v>
      </c>
    </row>
    <row r="144" customFormat="false" ht="15" hidden="false" customHeight="false" outlineLevel="0" collapsed="false">
      <c r="A144" s="7" t="s">
        <v>497</v>
      </c>
      <c r="B144" s="7" t="s">
        <v>498</v>
      </c>
      <c r="C144" s="7" t="s">
        <v>499</v>
      </c>
      <c r="D144" s="7" t="s">
        <v>62</v>
      </c>
      <c r="E144" s="7" t="s">
        <v>63</v>
      </c>
      <c r="F144" s="7" t="s">
        <v>64</v>
      </c>
      <c r="G144" s="7" t="s">
        <v>73</v>
      </c>
      <c r="H144" s="7" t="s">
        <v>74</v>
      </c>
      <c r="I144" s="7" t="s">
        <v>51</v>
      </c>
      <c r="J144" s="7" t="n">
        <v>3</v>
      </c>
      <c r="K144" s="8" t="n">
        <v>7079</v>
      </c>
      <c r="L144" s="9" t="n">
        <v>0.2</v>
      </c>
      <c r="M144" s="8" t="n">
        <v>8219.34</v>
      </c>
      <c r="N144" s="8" t="n">
        <f aca="false">J144*K144*(1-L144)</f>
        <v>16989.6</v>
      </c>
      <c r="O144" s="8" t="n">
        <f aca="false">N144-M144</f>
        <v>8770.26</v>
      </c>
      <c r="P144" s="10" t="n">
        <f aca="false">IFERROR(O144/N144,0)</f>
        <v>0.516213448227151</v>
      </c>
      <c r="Q144" s="7" t="str">
        <f aca="false">TEXT(B144,"mmm")</f>
        <v>Dec</v>
      </c>
      <c r="R144" s="7" t="str">
        <f aca="false">TEXT(B144,"yyyy-mm")</f>
        <v>2024-12</v>
      </c>
    </row>
    <row r="145" customFormat="false" ht="15" hidden="false" customHeight="false" outlineLevel="0" collapsed="false">
      <c r="A145" s="7" t="s">
        <v>500</v>
      </c>
      <c r="B145" s="7" t="s">
        <v>501</v>
      </c>
      <c r="C145" s="7" t="s">
        <v>502</v>
      </c>
      <c r="D145" s="7" t="s">
        <v>119</v>
      </c>
      <c r="E145" s="7" t="s">
        <v>120</v>
      </c>
      <c r="F145" s="7" t="s">
        <v>88</v>
      </c>
      <c r="G145" s="7" t="s">
        <v>73</v>
      </c>
      <c r="H145" s="7" t="s">
        <v>74</v>
      </c>
      <c r="I145" s="7" t="s">
        <v>75</v>
      </c>
      <c r="J145" s="7" t="n">
        <v>2</v>
      </c>
      <c r="K145" s="8" t="n">
        <v>620</v>
      </c>
      <c r="L145" s="9" t="n">
        <v>0.2</v>
      </c>
      <c r="M145" s="8" t="n">
        <v>909.1</v>
      </c>
      <c r="N145" s="8" t="n">
        <f aca="false">J145*K145*(1-L145)</f>
        <v>992</v>
      </c>
      <c r="O145" s="8" t="n">
        <f aca="false">N145-M145</f>
        <v>82.9</v>
      </c>
      <c r="P145" s="10" t="n">
        <f aca="false">IFERROR(O145/N145,0)</f>
        <v>0.0835685483870968</v>
      </c>
      <c r="Q145" s="7" t="str">
        <f aca="false">TEXT(B145,"mmm")</f>
        <v>Jun</v>
      </c>
      <c r="R145" s="7" t="str">
        <f aca="false">TEXT(B145,"yyyy-mm")</f>
        <v>2024-06</v>
      </c>
    </row>
    <row r="146" customFormat="false" ht="15" hidden="false" customHeight="false" outlineLevel="0" collapsed="false">
      <c r="A146" s="7" t="s">
        <v>503</v>
      </c>
      <c r="B146" s="7" t="s">
        <v>291</v>
      </c>
      <c r="C146" s="7" t="s">
        <v>504</v>
      </c>
      <c r="D146" s="7" t="s">
        <v>70</v>
      </c>
      <c r="E146" s="7" t="s">
        <v>71</v>
      </c>
      <c r="F146" s="7" t="s">
        <v>72</v>
      </c>
      <c r="G146" s="7" t="s">
        <v>81</v>
      </c>
      <c r="H146" s="7" t="s">
        <v>237</v>
      </c>
      <c r="I146" s="7" t="s">
        <v>75</v>
      </c>
      <c r="J146" s="7" t="n">
        <v>6</v>
      </c>
      <c r="K146" s="8" t="n">
        <v>3059</v>
      </c>
      <c r="L146" s="9" t="n">
        <v>0</v>
      </c>
      <c r="M146" s="8" t="n">
        <v>9638.76</v>
      </c>
      <c r="N146" s="8" t="n">
        <f aca="false">J146*K146*(1-L146)</f>
        <v>18354</v>
      </c>
      <c r="O146" s="8" t="n">
        <f aca="false">N146-M146</f>
        <v>8715.24</v>
      </c>
      <c r="P146" s="10" t="n">
        <f aca="false">IFERROR(O146/N146,0)</f>
        <v>0.474841451454724</v>
      </c>
      <c r="Q146" s="7" t="str">
        <f aca="false">TEXT(B146,"mmm")</f>
        <v>May</v>
      </c>
      <c r="R146" s="7" t="str">
        <f aca="false">TEXT(B146,"yyyy-mm")</f>
        <v>2024-05</v>
      </c>
    </row>
    <row r="147" customFormat="false" ht="15" hidden="false" customHeight="false" outlineLevel="0" collapsed="false">
      <c r="A147" s="7" t="s">
        <v>505</v>
      </c>
      <c r="B147" s="7" t="s">
        <v>506</v>
      </c>
      <c r="C147" s="7" t="s">
        <v>507</v>
      </c>
      <c r="D147" s="7" t="s">
        <v>104</v>
      </c>
      <c r="E147" s="7" t="s">
        <v>105</v>
      </c>
      <c r="F147" s="7" t="s">
        <v>48</v>
      </c>
      <c r="G147" s="7" t="s">
        <v>49</v>
      </c>
      <c r="H147" s="7" t="s">
        <v>50</v>
      </c>
      <c r="I147" s="7" t="s">
        <v>51</v>
      </c>
      <c r="J147" s="7" t="n">
        <v>6</v>
      </c>
      <c r="K147" s="8" t="n">
        <v>2000</v>
      </c>
      <c r="L147" s="9" t="n">
        <v>0.1</v>
      </c>
      <c r="M147" s="8" t="n">
        <v>5227.8</v>
      </c>
      <c r="N147" s="8" t="n">
        <f aca="false">J147*K147*(1-L147)</f>
        <v>10800</v>
      </c>
      <c r="O147" s="8" t="n">
        <f aca="false">N147-M147</f>
        <v>5572.2</v>
      </c>
      <c r="P147" s="10" t="n">
        <f aca="false">IFERROR(O147/N147,0)</f>
        <v>0.515944444444444</v>
      </c>
      <c r="Q147" s="7" t="str">
        <f aca="false">TEXT(B147,"mmm")</f>
        <v>Oct</v>
      </c>
      <c r="R147" s="7" t="str">
        <f aca="false">TEXT(B147,"yyyy-mm")</f>
        <v>2024-10</v>
      </c>
    </row>
    <row r="148" customFormat="false" ht="15" hidden="false" customHeight="false" outlineLevel="0" collapsed="false">
      <c r="A148" s="7" t="s">
        <v>508</v>
      </c>
      <c r="B148" s="7" t="s">
        <v>509</v>
      </c>
      <c r="C148" s="7" t="s">
        <v>134</v>
      </c>
      <c r="D148" s="7" t="s">
        <v>104</v>
      </c>
      <c r="E148" s="7" t="s">
        <v>105</v>
      </c>
      <c r="F148" s="7" t="s">
        <v>48</v>
      </c>
      <c r="G148" s="7" t="s">
        <v>49</v>
      </c>
      <c r="H148" s="7" t="s">
        <v>50</v>
      </c>
      <c r="I148" s="7" t="s">
        <v>51</v>
      </c>
      <c r="J148" s="7" t="n">
        <v>3</v>
      </c>
      <c r="K148" s="8" t="n">
        <v>2000</v>
      </c>
      <c r="L148" s="9" t="n">
        <v>0.1</v>
      </c>
      <c r="M148" s="8" t="n">
        <v>2613.9</v>
      </c>
      <c r="N148" s="8" t="n">
        <f aca="false">J148*K148*(1-L148)</f>
        <v>5400</v>
      </c>
      <c r="O148" s="8" t="n">
        <f aca="false">N148-M148</f>
        <v>2786.1</v>
      </c>
      <c r="P148" s="10" t="n">
        <f aca="false">IFERROR(O148/N148,0)</f>
        <v>0.515944444444444</v>
      </c>
      <c r="Q148" s="7" t="str">
        <f aca="false">TEXT(B148,"mmm")</f>
        <v>Feb</v>
      </c>
      <c r="R148" s="7" t="str">
        <f aca="false">TEXT(B148,"yyyy-mm")</f>
        <v>2024-02</v>
      </c>
    </row>
    <row r="149" customFormat="false" ht="15" hidden="false" customHeight="false" outlineLevel="0" collapsed="false">
      <c r="A149" s="7" t="s">
        <v>510</v>
      </c>
      <c r="B149" s="7" t="s">
        <v>122</v>
      </c>
      <c r="C149" s="7" t="s">
        <v>166</v>
      </c>
      <c r="D149" s="7" t="s">
        <v>423</v>
      </c>
      <c r="E149" s="7" t="s">
        <v>424</v>
      </c>
      <c r="F149" s="7" t="s">
        <v>48</v>
      </c>
      <c r="G149" s="7" t="s">
        <v>73</v>
      </c>
      <c r="H149" s="7" t="s">
        <v>74</v>
      </c>
      <c r="I149" s="7" t="s">
        <v>51</v>
      </c>
      <c r="J149" s="7" t="n">
        <v>2</v>
      </c>
      <c r="K149" s="8" t="n">
        <v>5039</v>
      </c>
      <c r="L149" s="9" t="n">
        <v>0.05</v>
      </c>
      <c r="M149" s="8" t="n">
        <v>3892.72</v>
      </c>
      <c r="N149" s="8" t="n">
        <f aca="false">J149*K149*(1-L149)</f>
        <v>9574.1</v>
      </c>
      <c r="O149" s="8" t="n">
        <f aca="false">N149-M149</f>
        <v>5681.38</v>
      </c>
      <c r="P149" s="10" t="n">
        <f aca="false">IFERROR(O149/N149,0)</f>
        <v>0.593411391149038</v>
      </c>
      <c r="Q149" s="7" t="str">
        <f aca="false">TEXT(B149,"mmm")</f>
        <v>Mar</v>
      </c>
      <c r="R149" s="7" t="str">
        <f aca="false">TEXT(B149,"yyyy-mm")</f>
        <v>2024-03</v>
      </c>
    </row>
    <row r="150" customFormat="false" ht="15" hidden="false" customHeight="false" outlineLevel="0" collapsed="false">
      <c r="A150" s="7" t="s">
        <v>511</v>
      </c>
      <c r="B150" s="7" t="s">
        <v>346</v>
      </c>
      <c r="C150" s="7" t="s">
        <v>512</v>
      </c>
      <c r="D150" s="7" t="s">
        <v>119</v>
      </c>
      <c r="E150" s="7" t="s">
        <v>120</v>
      </c>
      <c r="F150" s="7" t="s">
        <v>88</v>
      </c>
      <c r="G150" s="7" t="s">
        <v>49</v>
      </c>
      <c r="H150" s="7" t="s">
        <v>50</v>
      </c>
      <c r="I150" s="7" t="s">
        <v>51</v>
      </c>
      <c r="J150" s="7" t="n">
        <v>4</v>
      </c>
      <c r="K150" s="8" t="n">
        <v>620</v>
      </c>
      <c r="L150" s="9" t="n">
        <v>0.25</v>
      </c>
      <c r="M150" s="8" t="n">
        <v>1818.2</v>
      </c>
      <c r="N150" s="8" t="n">
        <f aca="false">J150*K150*(1-L150)</f>
        <v>1860</v>
      </c>
      <c r="O150" s="8" t="n">
        <f aca="false">N150-M150</f>
        <v>41.8</v>
      </c>
      <c r="P150" s="10" t="n">
        <f aca="false">IFERROR(O150/N150,0)</f>
        <v>0.0224731182795699</v>
      </c>
      <c r="Q150" s="7" t="str">
        <f aca="false">TEXT(B150,"mmm")</f>
        <v>Apr</v>
      </c>
      <c r="R150" s="7" t="str">
        <f aca="false">TEXT(B150,"yyyy-mm")</f>
        <v>2024-04</v>
      </c>
    </row>
    <row r="151" customFormat="false" ht="15" hidden="false" customHeight="false" outlineLevel="0" collapsed="false">
      <c r="A151" s="7" t="s">
        <v>513</v>
      </c>
      <c r="B151" s="7" t="s">
        <v>514</v>
      </c>
      <c r="C151" s="7" t="s">
        <v>515</v>
      </c>
      <c r="D151" s="7" t="s">
        <v>423</v>
      </c>
      <c r="E151" s="7" t="s">
        <v>424</v>
      </c>
      <c r="F151" s="7" t="s">
        <v>48</v>
      </c>
      <c r="G151" s="7" t="s">
        <v>65</v>
      </c>
      <c r="H151" s="7" t="s">
        <v>106</v>
      </c>
      <c r="I151" s="7" t="s">
        <v>75</v>
      </c>
      <c r="J151" s="7" t="n">
        <v>2</v>
      </c>
      <c r="K151" s="8" t="n">
        <v>5039</v>
      </c>
      <c r="L151" s="9" t="n">
        <v>0</v>
      </c>
      <c r="M151" s="8" t="n">
        <v>3892.72</v>
      </c>
      <c r="N151" s="8" t="n">
        <f aca="false">J151*K151*(1-L151)</f>
        <v>10078</v>
      </c>
      <c r="O151" s="8" t="n">
        <f aca="false">N151-M151</f>
        <v>6185.28</v>
      </c>
      <c r="P151" s="10" t="n">
        <f aca="false">IFERROR(O151/N151,0)</f>
        <v>0.613740821591586</v>
      </c>
      <c r="Q151" s="7" t="str">
        <f aca="false">TEXT(B151,"mmm")</f>
        <v>Jul</v>
      </c>
      <c r="R151" s="7" t="str">
        <f aca="false">TEXT(B151,"yyyy-mm")</f>
        <v>2024-07</v>
      </c>
    </row>
    <row r="152" customFormat="false" ht="15" hidden="false" customHeight="false" outlineLevel="0" collapsed="false">
      <c r="A152" s="7" t="s">
        <v>516</v>
      </c>
      <c r="B152" s="7" t="s">
        <v>517</v>
      </c>
      <c r="C152" s="7" t="s">
        <v>518</v>
      </c>
      <c r="D152" s="7" t="s">
        <v>459</v>
      </c>
      <c r="E152" s="7" t="s">
        <v>460</v>
      </c>
      <c r="F152" s="7" t="s">
        <v>64</v>
      </c>
      <c r="G152" s="7" t="s">
        <v>73</v>
      </c>
      <c r="H152" s="7" t="s">
        <v>266</v>
      </c>
      <c r="I152" s="7" t="s">
        <v>51</v>
      </c>
      <c r="J152" s="7" t="n">
        <v>4</v>
      </c>
      <c r="K152" s="8" t="n">
        <v>1520</v>
      </c>
      <c r="L152" s="9" t="n">
        <v>0.05</v>
      </c>
      <c r="M152" s="8" t="n">
        <v>3542.84</v>
      </c>
      <c r="N152" s="8" t="n">
        <f aca="false">J152*K152*(1-L152)</f>
        <v>5776</v>
      </c>
      <c r="O152" s="8" t="n">
        <f aca="false">N152-M152</f>
        <v>2233.16</v>
      </c>
      <c r="P152" s="10" t="n">
        <f aca="false">IFERROR(O152/N152,0)</f>
        <v>0.386627423822715</v>
      </c>
      <c r="Q152" s="7" t="str">
        <f aca="false">TEXT(B152,"mmm")</f>
        <v>Aug</v>
      </c>
      <c r="R152" s="7" t="str">
        <f aca="false">TEXT(B152,"yyyy-mm")</f>
        <v>2024-08</v>
      </c>
    </row>
    <row r="153" customFormat="false" ht="15" hidden="false" customHeight="false" outlineLevel="0" collapsed="false">
      <c r="A153" s="7" t="s">
        <v>519</v>
      </c>
      <c r="B153" s="7" t="s">
        <v>520</v>
      </c>
      <c r="C153" s="7" t="s">
        <v>454</v>
      </c>
      <c r="D153" s="7" t="s">
        <v>295</v>
      </c>
      <c r="E153" s="7" t="s">
        <v>296</v>
      </c>
      <c r="F153" s="7" t="s">
        <v>64</v>
      </c>
      <c r="G153" s="7" t="s">
        <v>49</v>
      </c>
      <c r="H153" s="7" t="s">
        <v>172</v>
      </c>
      <c r="I153" s="7" t="s">
        <v>51</v>
      </c>
      <c r="J153" s="7" t="n">
        <v>6</v>
      </c>
      <c r="K153" s="8" t="n">
        <v>1249</v>
      </c>
      <c r="L153" s="9" t="n">
        <v>0.2</v>
      </c>
      <c r="M153" s="8" t="n">
        <v>5503.86</v>
      </c>
      <c r="N153" s="8" t="n">
        <f aca="false">J153*K153*(1-L153)</f>
        <v>5995.2</v>
      </c>
      <c r="O153" s="8" t="n">
        <f aca="false">N153-M153</f>
        <v>491.340000000001</v>
      </c>
      <c r="P153" s="10" t="n">
        <f aca="false">IFERROR(O153/N153,0)</f>
        <v>0.0819555644515614</v>
      </c>
      <c r="Q153" s="7" t="str">
        <f aca="false">TEXT(B153,"mmm")</f>
        <v>Aug</v>
      </c>
      <c r="R153" s="7" t="str">
        <f aca="false">TEXT(B153,"yyyy-mm")</f>
        <v>2024-08</v>
      </c>
    </row>
    <row r="154" customFormat="false" ht="15" hidden="false" customHeight="false" outlineLevel="0" collapsed="false">
      <c r="A154" s="7" t="s">
        <v>521</v>
      </c>
      <c r="B154" s="7" t="s">
        <v>458</v>
      </c>
      <c r="C154" s="7" t="s">
        <v>161</v>
      </c>
      <c r="D154" s="7" t="s">
        <v>326</v>
      </c>
      <c r="E154" s="7" t="s">
        <v>327</v>
      </c>
      <c r="F154" s="7" t="s">
        <v>57</v>
      </c>
      <c r="G154" s="7" t="s">
        <v>65</v>
      </c>
      <c r="H154" s="7" t="s">
        <v>66</v>
      </c>
      <c r="I154" s="7" t="s">
        <v>51</v>
      </c>
      <c r="J154" s="7" t="n">
        <v>1</v>
      </c>
      <c r="K154" s="8" t="n">
        <v>5950</v>
      </c>
      <c r="L154" s="9" t="n">
        <v>0.25</v>
      </c>
      <c r="M154" s="8" t="n">
        <v>2416.94</v>
      </c>
      <c r="N154" s="8" t="n">
        <f aca="false">J154*K154*(1-L154)</f>
        <v>4462.5</v>
      </c>
      <c r="O154" s="8" t="n">
        <f aca="false">N154-M154</f>
        <v>2045.56</v>
      </c>
      <c r="P154" s="10" t="n">
        <f aca="false">IFERROR(O154/N154,0)</f>
        <v>0.458388795518207</v>
      </c>
      <c r="Q154" s="7" t="str">
        <f aca="false">TEXT(B154,"mmm")</f>
        <v>Jun</v>
      </c>
      <c r="R154" s="7" t="str">
        <f aca="false">TEXT(B154,"yyyy-mm")</f>
        <v>2024-06</v>
      </c>
    </row>
    <row r="155" customFormat="false" ht="15" hidden="false" customHeight="false" outlineLevel="0" collapsed="false">
      <c r="A155" s="7" t="s">
        <v>522</v>
      </c>
      <c r="B155" s="7" t="s">
        <v>523</v>
      </c>
      <c r="C155" s="7" t="s">
        <v>347</v>
      </c>
      <c r="D155" s="7" t="s">
        <v>162</v>
      </c>
      <c r="E155" s="7" t="s">
        <v>163</v>
      </c>
      <c r="F155" s="7" t="s">
        <v>57</v>
      </c>
      <c r="G155" s="7" t="s">
        <v>81</v>
      </c>
      <c r="H155" s="7" t="s">
        <v>237</v>
      </c>
      <c r="I155" s="7" t="s">
        <v>51</v>
      </c>
      <c r="J155" s="7" t="n">
        <v>3</v>
      </c>
      <c r="K155" s="8" t="n">
        <v>4629</v>
      </c>
      <c r="L155" s="9" t="n">
        <v>0.05</v>
      </c>
      <c r="M155" s="8" t="n">
        <v>6090.51</v>
      </c>
      <c r="N155" s="8" t="n">
        <f aca="false">J155*K155*(1-L155)</f>
        <v>13192.65</v>
      </c>
      <c r="O155" s="8" t="n">
        <f aca="false">N155-M155</f>
        <v>7102.14</v>
      </c>
      <c r="P155" s="10" t="n">
        <f aca="false">IFERROR(O155/N155,0)</f>
        <v>0.538340666962286</v>
      </c>
      <c r="Q155" s="7" t="str">
        <f aca="false">TEXT(B155,"mmm")</f>
        <v>Oct</v>
      </c>
      <c r="R155" s="7" t="str">
        <f aca="false">TEXT(B155,"yyyy-mm")</f>
        <v>2024-10</v>
      </c>
    </row>
    <row r="156" customFormat="false" ht="15" hidden="false" customHeight="false" outlineLevel="0" collapsed="false">
      <c r="A156" s="7" t="s">
        <v>524</v>
      </c>
      <c r="B156" s="7" t="s">
        <v>363</v>
      </c>
      <c r="C156" s="7" t="s">
        <v>419</v>
      </c>
      <c r="D156" s="7" t="s">
        <v>197</v>
      </c>
      <c r="E156" s="7" t="s">
        <v>198</v>
      </c>
      <c r="F156" s="7" t="s">
        <v>64</v>
      </c>
      <c r="G156" s="7" t="s">
        <v>73</v>
      </c>
      <c r="H156" s="7" t="s">
        <v>211</v>
      </c>
      <c r="I156" s="7" t="s">
        <v>51</v>
      </c>
      <c r="J156" s="7" t="n">
        <v>3</v>
      </c>
      <c r="K156" s="8" t="n">
        <v>2910</v>
      </c>
      <c r="L156" s="9" t="n">
        <v>0.25</v>
      </c>
      <c r="M156" s="8" t="n">
        <v>4020.48</v>
      </c>
      <c r="N156" s="8" t="n">
        <f aca="false">J156*K156*(1-L156)</f>
        <v>6547.5</v>
      </c>
      <c r="O156" s="8" t="n">
        <f aca="false">N156-M156</f>
        <v>2527.02</v>
      </c>
      <c r="P156" s="10" t="n">
        <f aca="false">IFERROR(O156/N156,0)</f>
        <v>0.385951890034364</v>
      </c>
      <c r="Q156" s="7" t="str">
        <f aca="false">TEXT(B156,"mmm")</f>
        <v>Jun</v>
      </c>
      <c r="R156" s="7" t="str">
        <f aca="false">TEXT(B156,"yyyy-mm")</f>
        <v>2024-06</v>
      </c>
    </row>
    <row r="157" customFormat="false" ht="15" hidden="false" customHeight="false" outlineLevel="0" collapsed="false">
      <c r="A157" s="7" t="s">
        <v>525</v>
      </c>
      <c r="B157" s="7" t="s">
        <v>526</v>
      </c>
      <c r="C157" s="7" t="s">
        <v>467</v>
      </c>
      <c r="D157" s="7" t="s">
        <v>124</v>
      </c>
      <c r="E157" s="7" t="s">
        <v>125</v>
      </c>
      <c r="F157" s="7" t="s">
        <v>64</v>
      </c>
      <c r="G157" s="7" t="s">
        <v>65</v>
      </c>
      <c r="H157" s="7" t="s">
        <v>217</v>
      </c>
      <c r="I157" s="7" t="s">
        <v>51</v>
      </c>
      <c r="J157" s="7" t="n">
        <v>8</v>
      </c>
      <c r="K157" s="8" t="n">
        <v>1349</v>
      </c>
      <c r="L157" s="9" t="n">
        <v>0</v>
      </c>
      <c r="M157" s="8" t="n">
        <v>5579.2</v>
      </c>
      <c r="N157" s="8" t="n">
        <f aca="false">J157*K157*(1-L157)</f>
        <v>10792</v>
      </c>
      <c r="O157" s="8" t="n">
        <f aca="false">N157-M157</f>
        <v>5212.8</v>
      </c>
      <c r="P157" s="10" t="n">
        <f aca="false">IFERROR(O157/N157,0)</f>
        <v>0.483024462564863</v>
      </c>
      <c r="Q157" s="7" t="str">
        <f aca="false">TEXT(B157,"mmm")</f>
        <v>Jan</v>
      </c>
      <c r="R157" s="7" t="str">
        <f aca="false">TEXT(B157,"yyyy-mm")</f>
        <v>2024-01</v>
      </c>
    </row>
    <row r="158" customFormat="false" ht="15" hidden="false" customHeight="false" outlineLevel="0" collapsed="false">
      <c r="A158" s="7" t="s">
        <v>527</v>
      </c>
      <c r="B158" s="7" t="s">
        <v>528</v>
      </c>
      <c r="C158" s="7" t="s">
        <v>529</v>
      </c>
      <c r="D158" s="7" t="s">
        <v>79</v>
      </c>
      <c r="E158" s="7" t="s">
        <v>80</v>
      </c>
      <c r="F158" s="7" t="s">
        <v>72</v>
      </c>
      <c r="G158" s="7" t="s">
        <v>73</v>
      </c>
      <c r="H158" s="7" t="s">
        <v>74</v>
      </c>
      <c r="I158" s="7" t="s">
        <v>51</v>
      </c>
      <c r="J158" s="7" t="n">
        <v>7</v>
      </c>
      <c r="K158" s="8" t="n">
        <v>4769</v>
      </c>
      <c r="L158" s="9" t="n">
        <v>0.1</v>
      </c>
      <c r="M158" s="8" t="n">
        <v>19073.67</v>
      </c>
      <c r="N158" s="8" t="n">
        <f aca="false">J158*K158*(1-L158)</f>
        <v>30044.7</v>
      </c>
      <c r="O158" s="8" t="n">
        <f aca="false">N158-M158</f>
        <v>10971.03</v>
      </c>
      <c r="P158" s="10" t="n">
        <f aca="false">IFERROR(O158/N158,0)</f>
        <v>0.36515691619487</v>
      </c>
      <c r="Q158" s="7" t="str">
        <f aca="false">TEXT(B158,"mmm")</f>
        <v>Aug</v>
      </c>
      <c r="R158" s="7" t="str">
        <f aca="false">TEXT(B158,"yyyy-mm")</f>
        <v>2024-08</v>
      </c>
    </row>
    <row r="159" customFormat="false" ht="15" hidden="false" customHeight="false" outlineLevel="0" collapsed="false">
      <c r="A159" s="7" t="s">
        <v>530</v>
      </c>
      <c r="B159" s="7" t="s">
        <v>531</v>
      </c>
      <c r="C159" s="7" t="s">
        <v>302</v>
      </c>
      <c r="D159" s="7" t="s">
        <v>249</v>
      </c>
      <c r="E159" s="7" t="s">
        <v>250</v>
      </c>
      <c r="F159" s="7" t="s">
        <v>57</v>
      </c>
      <c r="G159" s="7" t="s">
        <v>49</v>
      </c>
      <c r="H159" s="7" t="s">
        <v>172</v>
      </c>
      <c r="I159" s="7" t="s">
        <v>75</v>
      </c>
      <c r="J159" s="7" t="n">
        <v>2</v>
      </c>
      <c r="K159" s="8" t="n">
        <v>1730</v>
      </c>
      <c r="L159" s="9" t="n">
        <v>0.15</v>
      </c>
      <c r="M159" s="8" t="n">
        <v>1764.88</v>
      </c>
      <c r="N159" s="8" t="n">
        <f aca="false">J159*K159*(1-L159)</f>
        <v>2941</v>
      </c>
      <c r="O159" s="8" t="n">
        <f aca="false">N159-M159</f>
        <v>1176.12</v>
      </c>
      <c r="P159" s="10" t="n">
        <f aca="false">IFERROR(O159/N159,0)</f>
        <v>0.399904794287657</v>
      </c>
      <c r="Q159" s="7" t="str">
        <f aca="false">TEXT(B159,"mmm")</f>
        <v>Jan</v>
      </c>
      <c r="R159" s="7" t="str">
        <f aca="false">TEXT(B159,"yyyy-mm")</f>
        <v>2024-01</v>
      </c>
    </row>
    <row r="160" customFormat="false" ht="15" hidden="false" customHeight="false" outlineLevel="0" collapsed="false">
      <c r="A160" s="7" t="s">
        <v>532</v>
      </c>
      <c r="B160" s="7" t="s">
        <v>526</v>
      </c>
      <c r="C160" s="7" t="s">
        <v>504</v>
      </c>
      <c r="D160" s="7" t="s">
        <v>95</v>
      </c>
      <c r="E160" s="7" t="s">
        <v>96</v>
      </c>
      <c r="F160" s="7" t="s">
        <v>48</v>
      </c>
      <c r="G160" s="7" t="s">
        <v>49</v>
      </c>
      <c r="H160" s="7" t="s">
        <v>58</v>
      </c>
      <c r="I160" s="7" t="s">
        <v>51</v>
      </c>
      <c r="J160" s="7" t="n">
        <v>4</v>
      </c>
      <c r="K160" s="8" t="n">
        <v>5529</v>
      </c>
      <c r="L160" s="9" t="n">
        <v>0</v>
      </c>
      <c r="M160" s="8" t="n">
        <v>12465.04</v>
      </c>
      <c r="N160" s="8" t="n">
        <f aca="false">J160*K160*(1-L160)</f>
        <v>22116</v>
      </c>
      <c r="O160" s="8" t="n">
        <f aca="false">N160-M160</f>
        <v>9650.96</v>
      </c>
      <c r="P160" s="10" t="n">
        <f aca="false">IFERROR(O160/N160,0)</f>
        <v>0.436379092060047</v>
      </c>
      <c r="Q160" s="7" t="str">
        <f aca="false">TEXT(B160,"mmm")</f>
        <v>Jan</v>
      </c>
      <c r="R160" s="7" t="str">
        <f aca="false">TEXT(B160,"yyyy-mm")</f>
        <v>2024-01</v>
      </c>
    </row>
    <row r="161" customFormat="false" ht="15" hidden="false" customHeight="false" outlineLevel="0" collapsed="false">
      <c r="A161" s="7" t="s">
        <v>533</v>
      </c>
      <c r="B161" s="7" t="s">
        <v>534</v>
      </c>
      <c r="C161" s="7" t="s">
        <v>535</v>
      </c>
      <c r="D161" s="7" t="s">
        <v>215</v>
      </c>
      <c r="E161" s="7" t="s">
        <v>216</v>
      </c>
      <c r="F161" s="7" t="s">
        <v>57</v>
      </c>
      <c r="G161" s="7" t="s">
        <v>49</v>
      </c>
      <c r="H161" s="7" t="s">
        <v>58</v>
      </c>
      <c r="I161" s="7" t="s">
        <v>51</v>
      </c>
      <c r="J161" s="7" t="n">
        <v>6</v>
      </c>
      <c r="K161" s="8" t="n">
        <v>3749</v>
      </c>
      <c r="L161" s="9" t="n">
        <v>0</v>
      </c>
      <c r="M161" s="8" t="n">
        <v>17169.54</v>
      </c>
      <c r="N161" s="8" t="n">
        <f aca="false">J161*K161*(1-L161)</f>
        <v>22494</v>
      </c>
      <c r="O161" s="8" t="n">
        <f aca="false">N161-M161</f>
        <v>5324.46</v>
      </c>
      <c r="P161" s="10" t="n">
        <f aca="false">IFERROR(O161/N161,0)</f>
        <v>0.236705788210189</v>
      </c>
      <c r="Q161" s="7" t="str">
        <f aca="false">TEXT(B161,"mmm")</f>
        <v>Jan</v>
      </c>
      <c r="R161" s="7" t="str">
        <f aca="false">TEXT(B161,"yyyy-mm")</f>
        <v>2024-01</v>
      </c>
    </row>
    <row r="162" customFormat="false" ht="15" hidden="false" customHeight="false" outlineLevel="0" collapsed="false">
      <c r="A162" s="7" t="s">
        <v>536</v>
      </c>
      <c r="B162" s="7" t="s">
        <v>436</v>
      </c>
      <c r="C162" s="7" t="s">
        <v>537</v>
      </c>
      <c r="D162" s="7" t="s">
        <v>135</v>
      </c>
      <c r="E162" s="7" t="s">
        <v>136</v>
      </c>
      <c r="F162" s="7" t="s">
        <v>72</v>
      </c>
      <c r="G162" s="7" t="s">
        <v>81</v>
      </c>
      <c r="H162" s="7" t="s">
        <v>109</v>
      </c>
      <c r="I162" s="7" t="s">
        <v>51</v>
      </c>
      <c r="J162" s="7" t="n">
        <v>10</v>
      </c>
      <c r="K162" s="8" t="n">
        <v>7029</v>
      </c>
      <c r="L162" s="9" t="n">
        <v>0.25</v>
      </c>
      <c r="M162" s="8" t="n">
        <v>34870.1</v>
      </c>
      <c r="N162" s="8" t="n">
        <f aca="false">J162*K162*(1-L162)</f>
        <v>52717.5</v>
      </c>
      <c r="O162" s="8" t="n">
        <f aca="false">N162-M162</f>
        <v>17847.4</v>
      </c>
      <c r="P162" s="10" t="n">
        <f aca="false">IFERROR(O162/N162,0)</f>
        <v>0.338547920519752</v>
      </c>
      <c r="Q162" s="7" t="str">
        <f aca="false">TEXT(B162,"mmm")</f>
        <v>May</v>
      </c>
      <c r="R162" s="7" t="str">
        <f aca="false">TEXT(B162,"yyyy-mm")</f>
        <v>2024-05</v>
      </c>
    </row>
    <row r="163" customFormat="false" ht="15" hidden="false" customHeight="false" outlineLevel="0" collapsed="false">
      <c r="A163" s="7" t="s">
        <v>538</v>
      </c>
      <c r="B163" s="7" t="s">
        <v>539</v>
      </c>
      <c r="C163" s="7" t="s">
        <v>540</v>
      </c>
      <c r="D163" s="7" t="s">
        <v>249</v>
      </c>
      <c r="E163" s="7" t="s">
        <v>250</v>
      </c>
      <c r="F163" s="7" t="s">
        <v>57</v>
      </c>
      <c r="G163" s="7" t="s">
        <v>65</v>
      </c>
      <c r="H163" s="7" t="s">
        <v>106</v>
      </c>
      <c r="I163" s="7" t="s">
        <v>51</v>
      </c>
      <c r="J163" s="7" t="n">
        <v>1</v>
      </c>
      <c r="K163" s="8" t="n">
        <v>1730</v>
      </c>
      <c r="L163" s="9" t="n">
        <v>0.05</v>
      </c>
      <c r="M163" s="8" t="n">
        <v>882.44</v>
      </c>
      <c r="N163" s="8" t="n">
        <f aca="false">J163*K163*(1-L163)</f>
        <v>1643.5</v>
      </c>
      <c r="O163" s="8" t="n">
        <f aca="false">N163-M163</f>
        <v>761.06</v>
      </c>
      <c r="P163" s="10" t="n">
        <f aca="false">IFERROR(O163/N163,0)</f>
        <v>0.46307271067843</v>
      </c>
      <c r="Q163" s="7" t="str">
        <f aca="false">TEXT(B163,"mmm")</f>
        <v>Sep</v>
      </c>
      <c r="R163" s="7" t="str">
        <f aca="false">TEXT(B163,"yyyy-mm")</f>
        <v>2024-09</v>
      </c>
    </row>
    <row r="164" customFormat="false" ht="15" hidden="false" customHeight="false" outlineLevel="0" collapsed="false">
      <c r="A164" s="7" t="s">
        <v>541</v>
      </c>
      <c r="B164" s="7" t="s">
        <v>542</v>
      </c>
      <c r="C164" s="7" t="s">
        <v>502</v>
      </c>
      <c r="D164" s="7" t="s">
        <v>181</v>
      </c>
      <c r="E164" s="7" t="s">
        <v>182</v>
      </c>
      <c r="F164" s="7" t="s">
        <v>88</v>
      </c>
      <c r="G164" s="7" t="s">
        <v>49</v>
      </c>
      <c r="H164" s="7" t="s">
        <v>50</v>
      </c>
      <c r="I164" s="7" t="s">
        <v>75</v>
      </c>
      <c r="J164" s="7" t="n">
        <v>4</v>
      </c>
      <c r="K164" s="8" t="n">
        <v>4489</v>
      </c>
      <c r="L164" s="9" t="n">
        <v>0.25</v>
      </c>
      <c r="M164" s="8" t="n">
        <v>7822.28</v>
      </c>
      <c r="N164" s="8" t="n">
        <f aca="false">J164*K164*(1-L164)</f>
        <v>13467</v>
      </c>
      <c r="O164" s="8" t="n">
        <f aca="false">N164-M164</f>
        <v>5644.72</v>
      </c>
      <c r="P164" s="10" t="n">
        <f aca="false">IFERROR(O164/N164,0)</f>
        <v>0.419152001188089</v>
      </c>
      <c r="Q164" s="7" t="str">
        <f aca="false">TEXT(B164,"mmm")</f>
        <v>Mar</v>
      </c>
      <c r="R164" s="7" t="str">
        <f aca="false">TEXT(B164,"yyyy-mm")</f>
        <v>2024-03</v>
      </c>
    </row>
    <row r="165" customFormat="false" ht="15" hidden="false" customHeight="false" outlineLevel="0" collapsed="false">
      <c r="A165" s="7" t="s">
        <v>543</v>
      </c>
      <c r="B165" s="7" t="s">
        <v>469</v>
      </c>
      <c r="C165" s="7" t="s">
        <v>483</v>
      </c>
      <c r="D165" s="7" t="s">
        <v>423</v>
      </c>
      <c r="E165" s="7" t="s">
        <v>424</v>
      </c>
      <c r="F165" s="7" t="s">
        <v>48</v>
      </c>
      <c r="G165" s="7" t="s">
        <v>81</v>
      </c>
      <c r="H165" s="7" t="s">
        <v>237</v>
      </c>
      <c r="I165" s="7" t="s">
        <v>75</v>
      </c>
      <c r="J165" s="7" t="n">
        <v>6</v>
      </c>
      <c r="K165" s="8" t="n">
        <v>5039</v>
      </c>
      <c r="L165" s="9" t="n">
        <v>0</v>
      </c>
      <c r="M165" s="8" t="n">
        <v>11678.16</v>
      </c>
      <c r="N165" s="8" t="n">
        <f aca="false">J165*K165*(1-L165)</f>
        <v>30234</v>
      </c>
      <c r="O165" s="8" t="n">
        <f aca="false">N165-M165</f>
        <v>18555.84</v>
      </c>
      <c r="P165" s="10" t="n">
        <f aca="false">IFERROR(O165/N165,0)</f>
        <v>0.613740821591586</v>
      </c>
      <c r="Q165" s="7" t="str">
        <f aca="false">TEXT(B165,"mmm")</f>
        <v>Nov</v>
      </c>
      <c r="R165" s="7" t="str">
        <f aca="false">TEXT(B165,"yyyy-mm")</f>
        <v>2024-11</v>
      </c>
    </row>
    <row r="166" customFormat="false" ht="15" hidden="false" customHeight="false" outlineLevel="0" collapsed="false">
      <c r="A166" s="7" t="s">
        <v>544</v>
      </c>
      <c r="B166" s="7" t="s">
        <v>545</v>
      </c>
      <c r="C166" s="7" t="s">
        <v>546</v>
      </c>
      <c r="D166" s="7" t="s">
        <v>215</v>
      </c>
      <c r="E166" s="7" t="s">
        <v>216</v>
      </c>
      <c r="F166" s="7" t="s">
        <v>57</v>
      </c>
      <c r="G166" s="7" t="s">
        <v>73</v>
      </c>
      <c r="H166" s="7" t="s">
        <v>74</v>
      </c>
      <c r="I166" s="7" t="s">
        <v>51</v>
      </c>
      <c r="J166" s="7" t="n">
        <v>2</v>
      </c>
      <c r="K166" s="8" t="n">
        <v>3749</v>
      </c>
      <c r="L166" s="9" t="n">
        <v>0</v>
      </c>
      <c r="M166" s="8" t="n">
        <v>5723.18</v>
      </c>
      <c r="N166" s="8" t="n">
        <f aca="false">J166*K166*(1-L166)</f>
        <v>7498</v>
      </c>
      <c r="O166" s="8" t="n">
        <f aca="false">N166-M166</f>
        <v>1774.82</v>
      </c>
      <c r="P166" s="10" t="n">
        <f aca="false">IFERROR(O166/N166,0)</f>
        <v>0.236705788210189</v>
      </c>
      <c r="Q166" s="7" t="str">
        <f aca="false">TEXT(B166,"mmm")</f>
        <v>Jul</v>
      </c>
      <c r="R166" s="7" t="str">
        <f aca="false">TEXT(B166,"yyyy-mm")</f>
        <v>2024-07</v>
      </c>
    </row>
    <row r="167" customFormat="false" ht="15" hidden="false" customHeight="false" outlineLevel="0" collapsed="false">
      <c r="A167" s="7" t="s">
        <v>547</v>
      </c>
      <c r="B167" s="7" t="s">
        <v>509</v>
      </c>
      <c r="C167" s="7" t="s">
        <v>185</v>
      </c>
      <c r="D167" s="7" t="s">
        <v>464</v>
      </c>
      <c r="E167" s="7" t="s">
        <v>465</v>
      </c>
      <c r="F167" s="7" t="s">
        <v>48</v>
      </c>
      <c r="G167" s="7" t="s">
        <v>81</v>
      </c>
      <c r="H167" s="7" t="s">
        <v>237</v>
      </c>
      <c r="I167" s="7" t="s">
        <v>75</v>
      </c>
      <c r="J167" s="7" t="n">
        <v>8</v>
      </c>
      <c r="K167" s="8" t="n">
        <v>799</v>
      </c>
      <c r="L167" s="9" t="n">
        <v>0.2</v>
      </c>
      <c r="M167" s="8" t="n">
        <v>3311.84</v>
      </c>
      <c r="N167" s="8" t="n">
        <f aca="false">J167*K167*(1-L167)</f>
        <v>5113.6</v>
      </c>
      <c r="O167" s="8" t="n">
        <f aca="false">N167-M167</f>
        <v>1801.76</v>
      </c>
      <c r="P167" s="10" t="n">
        <f aca="false">IFERROR(O167/N167,0)</f>
        <v>0.352346683354193</v>
      </c>
      <c r="Q167" s="7" t="str">
        <f aca="false">TEXT(B167,"mmm")</f>
        <v>Feb</v>
      </c>
      <c r="R167" s="7" t="str">
        <f aca="false">TEXT(B167,"yyyy-mm")</f>
        <v>2024-02</v>
      </c>
    </row>
    <row r="168" customFormat="false" ht="15" hidden="false" customHeight="false" outlineLevel="0" collapsed="false">
      <c r="A168" s="7" t="s">
        <v>548</v>
      </c>
      <c r="B168" s="7" t="s">
        <v>382</v>
      </c>
      <c r="C168" s="7" t="s">
        <v>325</v>
      </c>
      <c r="D168" s="7" t="s">
        <v>549</v>
      </c>
      <c r="E168" s="7" t="s">
        <v>550</v>
      </c>
      <c r="F168" s="7" t="s">
        <v>48</v>
      </c>
      <c r="G168" s="7" t="s">
        <v>81</v>
      </c>
      <c r="H168" s="7" t="s">
        <v>82</v>
      </c>
      <c r="I168" s="7" t="s">
        <v>75</v>
      </c>
      <c r="J168" s="7" t="n">
        <v>5</v>
      </c>
      <c r="K168" s="8" t="n">
        <v>3419</v>
      </c>
      <c r="L168" s="9" t="n">
        <v>0.05</v>
      </c>
      <c r="M168" s="8" t="n">
        <v>12551.6</v>
      </c>
      <c r="N168" s="8" t="n">
        <f aca="false">J168*K168*(1-L168)</f>
        <v>16240.25</v>
      </c>
      <c r="O168" s="8" t="n">
        <f aca="false">N168-M168</f>
        <v>3688.65</v>
      </c>
      <c r="P168" s="10" t="n">
        <f aca="false">IFERROR(O168/N168,0)</f>
        <v>0.227130124228383</v>
      </c>
      <c r="Q168" s="7" t="str">
        <f aca="false">TEXT(B168,"mmm")</f>
        <v>May</v>
      </c>
      <c r="R168" s="7" t="str">
        <f aca="false">TEXT(B168,"yyyy-mm")</f>
        <v>2024-05</v>
      </c>
    </row>
    <row r="169" customFormat="false" ht="15" hidden="false" customHeight="false" outlineLevel="0" collapsed="false">
      <c r="A169" s="7" t="s">
        <v>551</v>
      </c>
      <c r="B169" s="7" t="s">
        <v>200</v>
      </c>
      <c r="C169" s="7" t="s">
        <v>504</v>
      </c>
      <c r="D169" s="7" t="s">
        <v>326</v>
      </c>
      <c r="E169" s="7" t="s">
        <v>327</v>
      </c>
      <c r="F169" s="7" t="s">
        <v>57</v>
      </c>
      <c r="G169" s="7" t="s">
        <v>81</v>
      </c>
      <c r="H169" s="7" t="s">
        <v>82</v>
      </c>
      <c r="I169" s="7" t="s">
        <v>51</v>
      </c>
      <c r="J169" s="7" t="n">
        <v>3</v>
      </c>
      <c r="K169" s="8" t="n">
        <v>5950</v>
      </c>
      <c r="L169" s="9" t="n">
        <v>0.15</v>
      </c>
      <c r="M169" s="8" t="n">
        <v>7250.82</v>
      </c>
      <c r="N169" s="8" t="n">
        <f aca="false">J169*K169*(1-L169)</f>
        <v>15172.5</v>
      </c>
      <c r="O169" s="8" t="n">
        <f aca="false">N169-M169</f>
        <v>7921.68</v>
      </c>
      <c r="P169" s="10" t="n">
        <f aca="false">IFERROR(O169/N169,0)</f>
        <v>0.522107760751359</v>
      </c>
      <c r="Q169" s="7" t="str">
        <f aca="false">TEXT(B169,"mmm")</f>
        <v>May</v>
      </c>
      <c r="R169" s="7" t="str">
        <f aca="false">TEXT(B169,"yyyy-mm")</f>
        <v>2024-05</v>
      </c>
    </row>
    <row r="170" customFormat="false" ht="15" hidden="false" customHeight="false" outlineLevel="0" collapsed="false">
      <c r="A170" s="7" t="s">
        <v>552</v>
      </c>
      <c r="B170" s="7" t="s">
        <v>322</v>
      </c>
      <c r="C170" s="7" t="s">
        <v>364</v>
      </c>
      <c r="D170" s="7" t="s">
        <v>62</v>
      </c>
      <c r="E170" s="7" t="s">
        <v>63</v>
      </c>
      <c r="F170" s="7" t="s">
        <v>64</v>
      </c>
      <c r="G170" s="7" t="s">
        <v>81</v>
      </c>
      <c r="H170" s="7" t="s">
        <v>82</v>
      </c>
      <c r="I170" s="7" t="s">
        <v>51</v>
      </c>
      <c r="J170" s="7" t="n">
        <v>6</v>
      </c>
      <c r="K170" s="8" t="n">
        <v>7079</v>
      </c>
      <c r="L170" s="9" t="n">
        <v>0</v>
      </c>
      <c r="M170" s="8" t="n">
        <v>16438.68</v>
      </c>
      <c r="N170" s="8" t="n">
        <f aca="false">J170*K170*(1-L170)</f>
        <v>42474</v>
      </c>
      <c r="O170" s="8" t="n">
        <f aca="false">N170-M170</f>
        <v>26035.32</v>
      </c>
      <c r="P170" s="10" t="n">
        <f aca="false">IFERROR(O170/N170,0)</f>
        <v>0.612970758581721</v>
      </c>
      <c r="Q170" s="7" t="str">
        <f aca="false">TEXT(B170,"mmm")</f>
        <v>Dec</v>
      </c>
      <c r="R170" s="7" t="str">
        <f aca="false">TEXT(B170,"yyyy-mm")</f>
        <v>2024-12</v>
      </c>
    </row>
    <row r="171" customFormat="false" ht="15" hidden="false" customHeight="false" outlineLevel="0" collapsed="false">
      <c r="A171" s="7" t="s">
        <v>553</v>
      </c>
      <c r="B171" s="7" t="s">
        <v>554</v>
      </c>
      <c r="C171" s="7" t="s">
        <v>349</v>
      </c>
      <c r="D171" s="7" t="s">
        <v>176</v>
      </c>
      <c r="E171" s="7" t="s">
        <v>177</v>
      </c>
      <c r="F171" s="7" t="s">
        <v>72</v>
      </c>
      <c r="G171" s="7" t="s">
        <v>336</v>
      </c>
      <c r="H171" s="7" t="s">
        <v>336</v>
      </c>
      <c r="I171" s="7" t="s">
        <v>51</v>
      </c>
      <c r="J171" s="7" t="n">
        <v>5</v>
      </c>
      <c r="K171" s="8" t="n">
        <v>3969</v>
      </c>
      <c r="L171" s="9" t="n">
        <v>0</v>
      </c>
      <c r="M171" s="8" t="n">
        <v>10739.85</v>
      </c>
      <c r="N171" s="8" t="n">
        <f aca="false">J171*K171*(1-L171)</f>
        <v>19845</v>
      </c>
      <c r="O171" s="8" t="n">
        <f aca="false">N171-M171</f>
        <v>9105.15</v>
      </c>
      <c r="P171" s="10" t="n">
        <f aca="false">IFERROR(O171/N171,0)</f>
        <v>0.458813303099017</v>
      </c>
      <c r="Q171" s="7" t="str">
        <f aca="false">TEXT(B171,"mmm")</f>
        <v>Apr</v>
      </c>
      <c r="R171" s="7" t="str">
        <f aca="false">TEXT(B171,"yyyy-mm")</f>
        <v>2024-04</v>
      </c>
    </row>
    <row r="172" customFormat="false" ht="15" hidden="false" customHeight="false" outlineLevel="0" collapsed="false">
      <c r="A172" s="7" t="s">
        <v>555</v>
      </c>
      <c r="B172" s="7" t="s">
        <v>239</v>
      </c>
      <c r="C172" s="7" t="s">
        <v>556</v>
      </c>
      <c r="D172" s="7" t="s">
        <v>249</v>
      </c>
      <c r="E172" s="7" t="s">
        <v>250</v>
      </c>
      <c r="F172" s="7" t="s">
        <v>57</v>
      </c>
      <c r="G172" s="7" t="s">
        <v>49</v>
      </c>
      <c r="H172" s="7" t="s">
        <v>58</v>
      </c>
      <c r="I172" s="7" t="s">
        <v>51</v>
      </c>
      <c r="J172" s="7" t="n">
        <v>2</v>
      </c>
      <c r="K172" s="8" t="n">
        <v>1730</v>
      </c>
      <c r="L172" s="9" t="n">
        <v>0.05</v>
      </c>
      <c r="M172" s="8" t="n">
        <v>1764.88</v>
      </c>
      <c r="N172" s="8" t="n">
        <f aca="false">J172*K172*(1-L172)</f>
        <v>3287</v>
      </c>
      <c r="O172" s="8" t="n">
        <f aca="false">N172-M172</f>
        <v>1522.12</v>
      </c>
      <c r="P172" s="10" t="n">
        <f aca="false">IFERROR(O172/N172,0)</f>
        <v>0.46307271067843</v>
      </c>
      <c r="Q172" s="7" t="str">
        <f aca="false">TEXT(B172,"mmm")</f>
        <v>Apr</v>
      </c>
      <c r="R172" s="7" t="str">
        <f aca="false">TEXT(B172,"yyyy-mm")</f>
        <v>2024-04</v>
      </c>
    </row>
    <row r="173" customFormat="false" ht="15" hidden="false" customHeight="false" outlineLevel="0" collapsed="false">
      <c r="A173" s="7" t="s">
        <v>557</v>
      </c>
      <c r="B173" s="7" t="s">
        <v>174</v>
      </c>
      <c r="C173" s="7" t="s">
        <v>558</v>
      </c>
      <c r="D173" s="7" t="s">
        <v>314</v>
      </c>
      <c r="E173" s="7" t="s">
        <v>315</v>
      </c>
      <c r="F173" s="7" t="s">
        <v>64</v>
      </c>
      <c r="G173" s="7" t="s">
        <v>81</v>
      </c>
      <c r="H173" s="7" t="s">
        <v>82</v>
      </c>
      <c r="I173" s="7" t="s">
        <v>75</v>
      </c>
      <c r="J173" s="7" t="n">
        <v>10</v>
      </c>
      <c r="K173" s="8" t="n">
        <v>4059</v>
      </c>
      <c r="L173" s="9" t="n">
        <v>0.05</v>
      </c>
      <c r="M173" s="8" t="n">
        <v>22795.4</v>
      </c>
      <c r="N173" s="8" t="n">
        <f aca="false">J173*K173*(1-L173)</f>
        <v>38560.5</v>
      </c>
      <c r="O173" s="8" t="n">
        <f aca="false">N173-M173</f>
        <v>15765.1</v>
      </c>
      <c r="P173" s="10" t="n">
        <f aca="false">IFERROR(O173/N173,0)</f>
        <v>0.408840652999831</v>
      </c>
      <c r="Q173" s="7" t="str">
        <f aca="false">TEXT(B173,"mmm")</f>
        <v>Nov</v>
      </c>
      <c r="R173" s="7" t="str">
        <f aca="false">TEXT(B173,"yyyy-mm")</f>
        <v>2024-11</v>
      </c>
    </row>
    <row r="174" customFormat="false" ht="15" hidden="false" customHeight="false" outlineLevel="0" collapsed="false">
      <c r="A174" s="7" t="s">
        <v>559</v>
      </c>
      <c r="B174" s="7" t="s">
        <v>133</v>
      </c>
      <c r="C174" s="7" t="s">
        <v>504</v>
      </c>
      <c r="D174" s="7" t="s">
        <v>197</v>
      </c>
      <c r="E174" s="7" t="s">
        <v>198</v>
      </c>
      <c r="F174" s="7" t="s">
        <v>64</v>
      </c>
      <c r="G174" s="7" t="s">
        <v>65</v>
      </c>
      <c r="H174" s="7" t="s">
        <v>106</v>
      </c>
      <c r="I174" s="7" t="s">
        <v>51</v>
      </c>
      <c r="J174" s="7" t="n">
        <v>2</v>
      </c>
      <c r="K174" s="8" t="n">
        <v>2910</v>
      </c>
      <c r="L174" s="9" t="n">
        <v>0.05</v>
      </c>
      <c r="M174" s="8" t="n">
        <v>2680.32</v>
      </c>
      <c r="N174" s="8" t="n">
        <f aca="false">J174*K174*(1-L174)</f>
        <v>5529</v>
      </c>
      <c r="O174" s="8" t="n">
        <f aca="false">N174-M174</f>
        <v>2848.68</v>
      </c>
      <c r="P174" s="10" t="n">
        <f aca="false">IFERROR(O174/N174,0)</f>
        <v>0.515225176342919</v>
      </c>
      <c r="Q174" s="7" t="str">
        <f aca="false">TEXT(B174,"mmm")</f>
        <v>Sep</v>
      </c>
      <c r="R174" s="7" t="str">
        <f aca="false">TEXT(B174,"yyyy-mm")</f>
        <v>2024-09</v>
      </c>
    </row>
    <row r="175" customFormat="false" ht="15" hidden="false" customHeight="false" outlineLevel="0" collapsed="false">
      <c r="A175" s="7" t="s">
        <v>560</v>
      </c>
      <c r="B175" s="7" t="s">
        <v>526</v>
      </c>
      <c r="C175" s="7" t="s">
        <v>399</v>
      </c>
      <c r="D175" s="7" t="s">
        <v>227</v>
      </c>
      <c r="E175" s="7" t="s">
        <v>228</v>
      </c>
      <c r="F175" s="7" t="s">
        <v>64</v>
      </c>
      <c r="G175" s="7" t="s">
        <v>65</v>
      </c>
      <c r="H175" s="7" t="s">
        <v>66</v>
      </c>
      <c r="I175" s="7" t="s">
        <v>75</v>
      </c>
      <c r="J175" s="7" t="n">
        <v>4</v>
      </c>
      <c r="K175" s="8" t="n">
        <v>5529</v>
      </c>
      <c r="L175" s="9" t="n">
        <v>0</v>
      </c>
      <c r="M175" s="8" t="n">
        <v>12210.88</v>
      </c>
      <c r="N175" s="8" t="n">
        <f aca="false">J175*K175*(1-L175)</f>
        <v>22116</v>
      </c>
      <c r="O175" s="8" t="n">
        <f aca="false">N175-M175</f>
        <v>9905.12</v>
      </c>
      <c r="P175" s="10" t="n">
        <f aca="false">IFERROR(O175/N175,0)</f>
        <v>0.447871224452885</v>
      </c>
      <c r="Q175" s="7" t="str">
        <f aca="false">TEXT(B175,"mmm")</f>
        <v>Jan</v>
      </c>
      <c r="R175" s="7" t="str">
        <f aca="false">TEXT(B175,"yyyy-mm")</f>
        <v>2024-01</v>
      </c>
    </row>
    <row r="176" customFormat="false" ht="15" hidden="false" customHeight="false" outlineLevel="0" collapsed="false">
      <c r="A176" s="7" t="s">
        <v>561</v>
      </c>
      <c r="B176" s="7" t="s">
        <v>562</v>
      </c>
      <c r="C176" s="7" t="s">
        <v>563</v>
      </c>
      <c r="D176" s="7" t="s">
        <v>79</v>
      </c>
      <c r="E176" s="7" t="s">
        <v>80</v>
      </c>
      <c r="F176" s="7" t="s">
        <v>72</v>
      </c>
      <c r="G176" s="7" t="s">
        <v>65</v>
      </c>
      <c r="H176" s="7" t="s">
        <v>106</v>
      </c>
      <c r="I176" s="7" t="s">
        <v>75</v>
      </c>
      <c r="J176" s="7" t="n">
        <v>2</v>
      </c>
      <c r="K176" s="8" t="n">
        <v>4769</v>
      </c>
      <c r="L176" s="9" t="n">
        <v>0.1</v>
      </c>
      <c r="M176" s="8" t="n">
        <v>5449.62</v>
      </c>
      <c r="N176" s="8" t="n">
        <f aca="false">J176*K176*(1-L176)</f>
        <v>8584.2</v>
      </c>
      <c r="O176" s="8" t="n">
        <f aca="false">N176-M176</f>
        <v>3134.58</v>
      </c>
      <c r="P176" s="10" t="n">
        <f aca="false">IFERROR(O176/N176,0)</f>
        <v>0.36515691619487</v>
      </c>
      <c r="Q176" s="7" t="str">
        <f aca="false">TEXT(B176,"mmm")</f>
        <v>Mar</v>
      </c>
      <c r="R176" s="7" t="str">
        <f aca="false">TEXT(B176,"yyyy-mm")</f>
        <v>2024-03</v>
      </c>
    </row>
    <row r="177" customFormat="false" ht="15" hidden="false" customHeight="false" outlineLevel="0" collapsed="false">
      <c r="A177" s="7" t="s">
        <v>564</v>
      </c>
      <c r="B177" s="7" t="s">
        <v>565</v>
      </c>
      <c r="C177" s="7" t="s">
        <v>566</v>
      </c>
      <c r="D177" s="7" t="s">
        <v>70</v>
      </c>
      <c r="E177" s="7" t="s">
        <v>71</v>
      </c>
      <c r="F177" s="7" t="s">
        <v>72</v>
      </c>
      <c r="G177" s="7" t="s">
        <v>49</v>
      </c>
      <c r="H177" s="7" t="s">
        <v>50</v>
      </c>
      <c r="I177" s="7" t="s">
        <v>51</v>
      </c>
      <c r="J177" s="7" t="n">
        <v>3</v>
      </c>
      <c r="K177" s="8" t="n">
        <v>3059</v>
      </c>
      <c r="L177" s="9" t="n">
        <v>0.2</v>
      </c>
      <c r="M177" s="8" t="n">
        <v>4819.38</v>
      </c>
      <c r="N177" s="8" t="n">
        <f aca="false">J177*K177*(1-L177)</f>
        <v>7341.6</v>
      </c>
      <c r="O177" s="8" t="n">
        <f aca="false">N177-M177</f>
        <v>2522.22</v>
      </c>
      <c r="P177" s="10" t="n">
        <f aca="false">IFERROR(O177/N177,0)</f>
        <v>0.343551814318405</v>
      </c>
      <c r="Q177" s="7" t="str">
        <f aca="false">TEXT(B177,"mmm")</f>
        <v>Oct</v>
      </c>
      <c r="R177" s="7" t="str">
        <f aca="false">TEXT(B177,"yyyy-mm")</f>
        <v>2024-10</v>
      </c>
    </row>
    <row r="178" customFormat="false" ht="15" hidden="false" customHeight="false" outlineLevel="0" collapsed="false">
      <c r="A178" s="7" t="s">
        <v>567</v>
      </c>
      <c r="B178" s="7" t="s">
        <v>274</v>
      </c>
      <c r="C178" s="7" t="s">
        <v>499</v>
      </c>
      <c r="D178" s="7" t="s">
        <v>295</v>
      </c>
      <c r="E178" s="7" t="s">
        <v>296</v>
      </c>
      <c r="F178" s="7" t="s">
        <v>64</v>
      </c>
      <c r="G178" s="7" t="s">
        <v>73</v>
      </c>
      <c r="H178" s="7" t="s">
        <v>266</v>
      </c>
      <c r="I178" s="7" t="s">
        <v>51</v>
      </c>
      <c r="J178" s="7" t="n">
        <v>2</v>
      </c>
      <c r="K178" s="8" t="n">
        <v>1249</v>
      </c>
      <c r="L178" s="9" t="n">
        <v>0.2</v>
      </c>
      <c r="M178" s="8" t="n">
        <v>1834.62</v>
      </c>
      <c r="N178" s="8" t="n">
        <f aca="false">J178*K178*(1-L178)</f>
        <v>1998.4</v>
      </c>
      <c r="O178" s="8" t="n">
        <f aca="false">N178-M178</f>
        <v>163.78</v>
      </c>
      <c r="P178" s="10" t="n">
        <f aca="false">IFERROR(O178/N178,0)</f>
        <v>0.0819555644515613</v>
      </c>
      <c r="Q178" s="7" t="str">
        <f aca="false">TEXT(B178,"mmm")</f>
        <v>Dec</v>
      </c>
      <c r="R178" s="7" t="str">
        <f aca="false">TEXT(B178,"yyyy-mm")</f>
        <v>2024-12</v>
      </c>
    </row>
    <row r="179" customFormat="false" ht="15" hidden="false" customHeight="false" outlineLevel="0" collapsed="false">
      <c r="A179" s="7" t="s">
        <v>568</v>
      </c>
      <c r="B179" s="7" t="s">
        <v>569</v>
      </c>
      <c r="C179" s="7" t="s">
        <v>275</v>
      </c>
      <c r="D179" s="7" t="s">
        <v>86</v>
      </c>
      <c r="E179" s="7" t="s">
        <v>87</v>
      </c>
      <c r="F179" s="7" t="s">
        <v>88</v>
      </c>
      <c r="G179" s="7" t="s">
        <v>73</v>
      </c>
      <c r="H179" s="7" t="s">
        <v>74</v>
      </c>
      <c r="I179" s="7" t="s">
        <v>51</v>
      </c>
      <c r="J179" s="7" t="n">
        <v>5</v>
      </c>
      <c r="K179" s="8" t="n">
        <v>3719</v>
      </c>
      <c r="L179" s="9" t="n">
        <v>0.05</v>
      </c>
      <c r="M179" s="8" t="n">
        <v>7376.85</v>
      </c>
      <c r="N179" s="8" t="n">
        <f aca="false">J179*K179*(1-L179)</f>
        <v>17665.25</v>
      </c>
      <c r="O179" s="8" t="n">
        <f aca="false">N179-M179</f>
        <v>10288.4</v>
      </c>
      <c r="P179" s="10" t="n">
        <f aca="false">IFERROR(O179/N179,0)</f>
        <v>0.582408966756768</v>
      </c>
      <c r="Q179" s="7" t="str">
        <f aca="false">TEXT(B179,"mmm")</f>
        <v>Jan</v>
      </c>
      <c r="R179" s="7" t="str">
        <f aca="false">TEXT(B179,"yyyy-mm")</f>
        <v>2024-01</v>
      </c>
    </row>
    <row r="180" customFormat="false" ht="15" hidden="false" customHeight="false" outlineLevel="0" collapsed="false">
      <c r="A180" s="7" t="s">
        <v>570</v>
      </c>
      <c r="B180" s="7" t="s">
        <v>209</v>
      </c>
      <c r="C180" s="7" t="s">
        <v>368</v>
      </c>
      <c r="D180" s="7" t="s">
        <v>170</v>
      </c>
      <c r="E180" s="7" t="s">
        <v>171</v>
      </c>
      <c r="F180" s="7" t="s">
        <v>88</v>
      </c>
      <c r="G180" s="7" t="s">
        <v>73</v>
      </c>
      <c r="H180" s="7" t="s">
        <v>211</v>
      </c>
      <c r="I180" s="7" t="s">
        <v>75</v>
      </c>
      <c r="J180" s="7" t="n">
        <v>1</v>
      </c>
      <c r="K180" s="8" t="n">
        <v>5749</v>
      </c>
      <c r="L180" s="9" t="n">
        <v>0.15</v>
      </c>
      <c r="M180" s="8" t="n">
        <v>3157.71</v>
      </c>
      <c r="N180" s="8" t="n">
        <f aca="false">J180*K180*(1-L180)</f>
        <v>4886.65</v>
      </c>
      <c r="O180" s="8" t="n">
        <f aca="false">N180-M180</f>
        <v>1728.94</v>
      </c>
      <c r="P180" s="10" t="n">
        <f aca="false">IFERROR(O180/N180,0)</f>
        <v>0.353808846551318</v>
      </c>
      <c r="Q180" s="7" t="str">
        <f aca="false">TEXT(B180,"mmm")</f>
        <v>Dec</v>
      </c>
      <c r="R180" s="7" t="str">
        <f aca="false">TEXT(B180,"yyyy-mm")</f>
        <v>2024-12</v>
      </c>
    </row>
    <row r="181" customFormat="false" ht="15" hidden="false" customHeight="false" outlineLevel="0" collapsed="false">
      <c r="A181" s="7" t="s">
        <v>571</v>
      </c>
      <c r="B181" s="7" t="s">
        <v>572</v>
      </c>
      <c r="C181" s="7" t="s">
        <v>502</v>
      </c>
      <c r="D181" s="7" t="s">
        <v>119</v>
      </c>
      <c r="E181" s="7" t="s">
        <v>120</v>
      </c>
      <c r="F181" s="7" t="s">
        <v>88</v>
      </c>
      <c r="G181" s="7" t="s">
        <v>49</v>
      </c>
      <c r="H181" s="7" t="s">
        <v>50</v>
      </c>
      <c r="I181" s="7" t="s">
        <v>75</v>
      </c>
      <c r="J181" s="7" t="n">
        <v>5</v>
      </c>
      <c r="K181" s="8" t="n">
        <v>620</v>
      </c>
      <c r="L181" s="9" t="n">
        <v>0.25</v>
      </c>
      <c r="M181" s="8" t="n">
        <v>2272.75</v>
      </c>
      <c r="N181" s="8" t="n">
        <f aca="false">J181*K181*(1-L181)</f>
        <v>2325</v>
      </c>
      <c r="O181" s="8" t="n">
        <f aca="false">N181-M181</f>
        <v>52.25</v>
      </c>
      <c r="P181" s="10" t="n">
        <f aca="false">IFERROR(O181/N181,0)</f>
        <v>0.0224731182795699</v>
      </c>
      <c r="Q181" s="7" t="str">
        <f aca="false">TEXT(B181,"mmm")</f>
        <v>Mar</v>
      </c>
      <c r="R181" s="7" t="str">
        <f aca="false">TEXT(B181,"yyyy-mm")</f>
        <v>2024-03</v>
      </c>
    </row>
    <row r="182" customFormat="false" ht="15" hidden="false" customHeight="false" outlineLevel="0" collapsed="false">
      <c r="A182" s="7" t="s">
        <v>573</v>
      </c>
      <c r="B182" s="7" t="s">
        <v>574</v>
      </c>
      <c r="C182" s="7" t="s">
        <v>575</v>
      </c>
      <c r="D182" s="7" t="s">
        <v>260</v>
      </c>
      <c r="E182" s="7" t="s">
        <v>261</v>
      </c>
      <c r="F182" s="7" t="s">
        <v>72</v>
      </c>
      <c r="G182" s="7" t="s">
        <v>49</v>
      </c>
      <c r="H182" s="7" t="s">
        <v>58</v>
      </c>
      <c r="I182" s="7" t="s">
        <v>51</v>
      </c>
      <c r="J182" s="7" t="n">
        <v>4</v>
      </c>
      <c r="K182" s="8" t="n">
        <v>4879</v>
      </c>
      <c r="L182" s="9" t="n">
        <v>0</v>
      </c>
      <c r="M182" s="8" t="n">
        <v>9734.92</v>
      </c>
      <c r="N182" s="8" t="n">
        <f aca="false">J182*K182*(1-L182)</f>
        <v>19516</v>
      </c>
      <c r="O182" s="8" t="n">
        <f aca="false">N182-M182</f>
        <v>9781.08</v>
      </c>
      <c r="P182" s="10" t="n">
        <f aca="false">IFERROR(O182/N182,0)</f>
        <v>0.501182619389219</v>
      </c>
      <c r="Q182" s="7" t="str">
        <f aca="false">TEXT(B182,"mmm")</f>
        <v>May</v>
      </c>
      <c r="R182" s="7" t="str">
        <f aca="false">TEXT(B182,"yyyy-mm")</f>
        <v>2024-05</v>
      </c>
    </row>
    <row r="183" customFormat="false" ht="15" hidden="false" customHeight="false" outlineLevel="0" collapsed="false">
      <c r="A183" s="7" t="s">
        <v>576</v>
      </c>
      <c r="B183" s="7" t="s">
        <v>428</v>
      </c>
      <c r="C183" s="7" t="s">
        <v>489</v>
      </c>
      <c r="D183" s="7" t="s">
        <v>326</v>
      </c>
      <c r="E183" s="7" t="s">
        <v>327</v>
      </c>
      <c r="F183" s="7" t="s">
        <v>57</v>
      </c>
      <c r="G183" s="7" t="s">
        <v>65</v>
      </c>
      <c r="H183" s="7" t="s">
        <v>106</v>
      </c>
      <c r="I183" s="7" t="s">
        <v>51</v>
      </c>
      <c r="J183" s="7" t="n">
        <v>5</v>
      </c>
      <c r="K183" s="8" t="n">
        <v>5950</v>
      </c>
      <c r="L183" s="9" t="n">
        <v>0</v>
      </c>
      <c r="M183" s="8" t="n">
        <v>12084.7</v>
      </c>
      <c r="N183" s="8" t="n">
        <f aca="false">J183*K183*(1-L183)</f>
        <v>29750</v>
      </c>
      <c r="O183" s="8" t="n">
        <f aca="false">N183-M183</f>
        <v>17665.3</v>
      </c>
      <c r="P183" s="10" t="n">
        <f aca="false">IFERROR(O183/N183,0)</f>
        <v>0.593791596638655</v>
      </c>
      <c r="Q183" s="7" t="str">
        <f aca="false">TEXT(B183,"mmm")</f>
        <v>Jun</v>
      </c>
      <c r="R183" s="7" t="str">
        <f aca="false">TEXT(B183,"yyyy-mm")</f>
        <v>2024-06</v>
      </c>
    </row>
    <row r="184" customFormat="false" ht="15" hidden="false" customHeight="false" outlineLevel="0" collapsed="false">
      <c r="A184" s="7" t="s">
        <v>577</v>
      </c>
      <c r="B184" s="7" t="s">
        <v>415</v>
      </c>
      <c r="C184" s="7" t="s">
        <v>578</v>
      </c>
      <c r="D184" s="7" t="s">
        <v>197</v>
      </c>
      <c r="E184" s="7" t="s">
        <v>198</v>
      </c>
      <c r="F184" s="7" t="s">
        <v>64</v>
      </c>
      <c r="G184" s="7" t="s">
        <v>81</v>
      </c>
      <c r="H184" s="7" t="s">
        <v>186</v>
      </c>
      <c r="I184" s="7" t="s">
        <v>51</v>
      </c>
      <c r="J184" s="7" t="n">
        <v>5</v>
      </c>
      <c r="K184" s="8" t="n">
        <v>2910</v>
      </c>
      <c r="L184" s="9" t="n">
        <v>0</v>
      </c>
      <c r="M184" s="8" t="n">
        <v>6700.8</v>
      </c>
      <c r="N184" s="8" t="n">
        <f aca="false">J184*K184*(1-L184)</f>
        <v>14550</v>
      </c>
      <c r="O184" s="8" t="n">
        <f aca="false">N184-M184</f>
        <v>7849.2</v>
      </c>
      <c r="P184" s="10" t="n">
        <f aca="false">IFERROR(O184/N184,0)</f>
        <v>0.539463917525773</v>
      </c>
      <c r="Q184" s="7" t="str">
        <f aca="false">TEXT(B184,"mmm")</f>
        <v>Mar</v>
      </c>
      <c r="R184" s="7" t="str">
        <f aca="false">TEXT(B184,"yyyy-mm")</f>
        <v>2024-03</v>
      </c>
    </row>
    <row r="185" customFormat="false" ht="15" hidden="false" customHeight="false" outlineLevel="0" collapsed="false">
      <c r="A185" s="7" t="s">
        <v>579</v>
      </c>
      <c r="B185" s="7" t="s">
        <v>580</v>
      </c>
      <c r="C185" s="7" t="s">
        <v>305</v>
      </c>
      <c r="D185" s="7" t="s">
        <v>201</v>
      </c>
      <c r="E185" s="7" t="s">
        <v>202</v>
      </c>
      <c r="F185" s="7" t="s">
        <v>72</v>
      </c>
      <c r="G185" s="7" t="s">
        <v>65</v>
      </c>
      <c r="H185" s="7" t="s">
        <v>66</v>
      </c>
      <c r="I185" s="7" t="s">
        <v>75</v>
      </c>
      <c r="J185" s="7" t="n">
        <v>3</v>
      </c>
      <c r="K185" s="8" t="n">
        <v>3990</v>
      </c>
      <c r="L185" s="9" t="n">
        <v>0.25</v>
      </c>
      <c r="M185" s="8" t="n">
        <v>9100.83</v>
      </c>
      <c r="N185" s="8" t="n">
        <f aca="false">J185*K185*(1-L185)</f>
        <v>8977.5</v>
      </c>
      <c r="O185" s="8" t="n">
        <f aca="false">N185-M185</f>
        <v>-123.33</v>
      </c>
      <c r="P185" s="10" t="n">
        <f aca="false">IFERROR(O185/N185,0)</f>
        <v>-0.0137376775271512</v>
      </c>
      <c r="Q185" s="7" t="str">
        <f aca="false">TEXT(B185,"mmm")</f>
        <v>Jul</v>
      </c>
      <c r="R185" s="7" t="str">
        <f aca="false">TEXT(B185,"yyyy-mm")</f>
        <v>2024-07</v>
      </c>
    </row>
    <row r="186" customFormat="false" ht="15" hidden="false" customHeight="false" outlineLevel="0" collapsed="false">
      <c r="A186" s="7" t="s">
        <v>581</v>
      </c>
      <c r="B186" s="7" t="s">
        <v>539</v>
      </c>
      <c r="C186" s="7" t="s">
        <v>269</v>
      </c>
      <c r="D186" s="7" t="s">
        <v>197</v>
      </c>
      <c r="E186" s="7" t="s">
        <v>198</v>
      </c>
      <c r="F186" s="7" t="s">
        <v>64</v>
      </c>
      <c r="G186" s="7" t="s">
        <v>81</v>
      </c>
      <c r="H186" s="7" t="s">
        <v>237</v>
      </c>
      <c r="I186" s="7" t="s">
        <v>75</v>
      </c>
      <c r="J186" s="7" t="n">
        <v>2</v>
      </c>
      <c r="K186" s="8" t="n">
        <v>2910</v>
      </c>
      <c r="L186" s="9" t="n">
        <v>0</v>
      </c>
      <c r="M186" s="8" t="n">
        <v>2680.32</v>
      </c>
      <c r="N186" s="8" t="n">
        <f aca="false">J186*K186*(1-L186)</f>
        <v>5820</v>
      </c>
      <c r="O186" s="8" t="n">
        <f aca="false">N186-M186</f>
        <v>3139.68</v>
      </c>
      <c r="P186" s="10" t="n">
        <f aca="false">IFERROR(O186/N186,0)</f>
        <v>0.539463917525773</v>
      </c>
      <c r="Q186" s="7" t="str">
        <f aca="false">TEXT(B186,"mmm")</f>
        <v>Sep</v>
      </c>
      <c r="R186" s="7" t="str">
        <f aca="false">TEXT(B186,"yyyy-mm")</f>
        <v>2024-09</v>
      </c>
    </row>
    <row r="187" customFormat="false" ht="15" hidden="false" customHeight="false" outlineLevel="0" collapsed="false">
      <c r="A187" s="7" t="s">
        <v>582</v>
      </c>
      <c r="B187" s="7" t="s">
        <v>491</v>
      </c>
      <c r="C187" s="7" t="s">
        <v>583</v>
      </c>
      <c r="D187" s="7" t="s">
        <v>162</v>
      </c>
      <c r="E187" s="7" t="s">
        <v>163</v>
      </c>
      <c r="F187" s="7" t="s">
        <v>57</v>
      </c>
      <c r="G187" s="7" t="s">
        <v>81</v>
      </c>
      <c r="H187" s="7" t="s">
        <v>186</v>
      </c>
      <c r="I187" s="7" t="s">
        <v>75</v>
      </c>
      <c r="J187" s="7" t="n">
        <v>4</v>
      </c>
      <c r="K187" s="8" t="n">
        <v>4629</v>
      </c>
      <c r="L187" s="9" t="n">
        <v>0</v>
      </c>
      <c r="M187" s="8" t="n">
        <v>8120.68</v>
      </c>
      <c r="N187" s="8" t="n">
        <f aca="false">J187*K187*(1-L187)</f>
        <v>18516</v>
      </c>
      <c r="O187" s="8" t="n">
        <f aca="false">N187-M187</f>
        <v>10395.32</v>
      </c>
      <c r="P187" s="10" t="n">
        <f aca="false">IFERROR(O187/N187,0)</f>
        <v>0.561423633614172</v>
      </c>
      <c r="Q187" s="7" t="str">
        <f aca="false">TEXT(B187,"mmm")</f>
        <v>Apr</v>
      </c>
      <c r="R187" s="7" t="str">
        <f aca="false">TEXT(B187,"yyyy-mm")</f>
        <v>2024-04</v>
      </c>
    </row>
    <row r="188" customFormat="false" ht="15" hidden="false" customHeight="false" outlineLevel="0" collapsed="false">
      <c r="A188" s="7" t="s">
        <v>584</v>
      </c>
      <c r="B188" s="7" t="s">
        <v>585</v>
      </c>
      <c r="C188" s="7" t="s">
        <v>586</v>
      </c>
      <c r="D188" s="7" t="s">
        <v>104</v>
      </c>
      <c r="E188" s="7" t="s">
        <v>105</v>
      </c>
      <c r="F188" s="7" t="s">
        <v>48</v>
      </c>
      <c r="G188" s="7" t="s">
        <v>73</v>
      </c>
      <c r="H188" s="7" t="s">
        <v>74</v>
      </c>
      <c r="I188" s="7" t="s">
        <v>51</v>
      </c>
      <c r="J188" s="7" t="n">
        <v>4</v>
      </c>
      <c r="K188" s="8" t="n">
        <v>2000</v>
      </c>
      <c r="L188" s="9" t="n">
        <v>0</v>
      </c>
      <c r="M188" s="8" t="n">
        <v>3485.2</v>
      </c>
      <c r="N188" s="8" t="n">
        <f aca="false">J188*K188*(1-L188)</f>
        <v>8000</v>
      </c>
      <c r="O188" s="8" t="n">
        <f aca="false">N188-M188</f>
        <v>4514.8</v>
      </c>
      <c r="P188" s="10" t="n">
        <f aca="false">IFERROR(O188/N188,0)</f>
        <v>0.56435</v>
      </c>
      <c r="Q188" s="7" t="str">
        <f aca="false">TEXT(B188,"mmm")</f>
        <v>Sep</v>
      </c>
      <c r="R188" s="7" t="str">
        <f aca="false">TEXT(B188,"yyyy-mm")</f>
        <v>2024-09</v>
      </c>
    </row>
    <row r="189" customFormat="false" ht="15" hidden="false" customHeight="false" outlineLevel="0" collapsed="false">
      <c r="A189" s="7" t="s">
        <v>587</v>
      </c>
      <c r="B189" s="7" t="s">
        <v>439</v>
      </c>
      <c r="C189" s="7" t="s">
        <v>518</v>
      </c>
      <c r="D189" s="7" t="s">
        <v>314</v>
      </c>
      <c r="E189" s="7" t="s">
        <v>315</v>
      </c>
      <c r="F189" s="7" t="s">
        <v>64</v>
      </c>
      <c r="G189" s="7" t="s">
        <v>73</v>
      </c>
      <c r="H189" s="7" t="s">
        <v>115</v>
      </c>
      <c r="I189" s="7" t="s">
        <v>51</v>
      </c>
      <c r="J189" s="7" t="n">
        <v>4</v>
      </c>
      <c r="K189" s="8" t="n">
        <v>4059</v>
      </c>
      <c r="L189" s="9" t="n">
        <v>0</v>
      </c>
      <c r="M189" s="8" t="n">
        <v>9118.16</v>
      </c>
      <c r="N189" s="8" t="n">
        <f aca="false">J189*K189*(1-L189)</f>
        <v>16236</v>
      </c>
      <c r="O189" s="8" t="n">
        <f aca="false">N189-M189</f>
        <v>7117.84</v>
      </c>
      <c r="P189" s="10" t="n">
        <f aca="false">IFERROR(O189/N189,0)</f>
        <v>0.43839862034984</v>
      </c>
      <c r="Q189" s="7" t="str">
        <f aca="false">TEXT(B189,"mmm")</f>
        <v>Aug</v>
      </c>
      <c r="R189" s="7" t="str">
        <f aca="false">TEXT(B189,"yyyy-mm")</f>
        <v>2024-08</v>
      </c>
    </row>
    <row r="190" customFormat="false" ht="15" hidden="false" customHeight="false" outlineLevel="0" collapsed="false">
      <c r="A190" s="7" t="s">
        <v>588</v>
      </c>
      <c r="B190" s="7" t="s">
        <v>332</v>
      </c>
      <c r="C190" s="7" t="s">
        <v>589</v>
      </c>
      <c r="D190" s="7" t="s">
        <v>215</v>
      </c>
      <c r="E190" s="7" t="s">
        <v>216</v>
      </c>
      <c r="F190" s="7" t="s">
        <v>57</v>
      </c>
      <c r="G190" s="7" t="s">
        <v>73</v>
      </c>
      <c r="H190" s="7" t="s">
        <v>211</v>
      </c>
      <c r="I190" s="7" t="s">
        <v>51</v>
      </c>
      <c r="J190" s="7" t="n">
        <v>4</v>
      </c>
      <c r="K190" s="8" t="n">
        <v>3749</v>
      </c>
      <c r="L190" s="9" t="n">
        <v>0.1</v>
      </c>
      <c r="M190" s="8" t="n">
        <v>11446.36</v>
      </c>
      <c r="N190" s="8" t="n">
        <f aca="false">J190*K190*(1-L190)</f>
        <v>13496.4</v>
      </c>
      <c r="O190" s="8" t="n">
        <f aca="false">N190-M190</f>
        <v>2050.04</v>
      </c>
      <c r="P190" s="10" t="n">
        <f aca="false">IFERROR(O190/N190,0)</f>
        <v>0.151895320233544</v>
      </c>
      <c r="Q190" s="7" t="str">
        <f aca="false">TEXT(B190,"mmm")</f>
        <v>Jun</v>
      </c>
      <c r="R190" s="7" t="str">
        <f aca="false">TEXT(B190,"yyyy-mm")</f>
        <v>2024-06</v>
      </c>
    </row>
    <row r="191" customFormat="false" ht="15" hidden="false" customHeight="false" outlineLevel="0" collapsed="false">
      <c r="A191" s="7" t="s">
        <v>590</v>
      </c>
      <c r="B191" s="7" t="s">
        <v>147</v>
      </c>
      <c r="C191" s="7" t="s">
        <v>259</v>
      </c>
      <c r="D191" s="7" t="s">
        <v>135</v>
      </c>
      <c r="E191" s="7" t="s">
        <v>136</v>
      </c>
      <c r="F191" s="7" t="s">
        <v>72</v>
      </c>
      <c r="G191" s="7" t="s">
        <v>81</v>
      </c>
      <c r="H191" s="7" t="s">
        <v>82</v>
      </c>
      <c r="I191" s="7" t="s">
        <v>51</v>
      </c>
      <c r="J191" s="7" t="n">
        <v>7</v>
      </c>
      <c r="K191" s="8" t="n">
        <v>7029</v>
      </c>
      <c r="L191" s="9" t="n">
        <v>0.15</v>
      </c>
      <c r="M191" s="8" t="n">
        <v>24409.07</v>
      </c>
      <c r="N191" s="8" t="n">
        <f aca="false">J191*K191*(1-L191)</f>
        <v>41822.55</v>
      </c>
      <c r="O191" s="8" t="n">
        <f aca="false">N191-M191</f>
        <v>17413.48</v>
      </c>
      <c r="P191" s="10" t="n">
        <f aca="false">IFERROR(O191/N191,0)</f>
        <v>0.41636581222331</v>
      </c>
      <c r="Q191" s="7" t="str">
        <f aca="false">TEXT(B191,"mmm")</f>
        <v>Jan</v>
      </c>
      <c r="R191" s="7" t="str">
        <f aca="false">TEXT(B191,"yyyy-mm")</f>
        <v>2024-01</v>
      </c>
    </row>
    <row r="192" customFormat="false" ht="15" hidden="false" customHeight="false" outlineLevel="0" collapsed="false">
      <c r="A192" s="7" t="s">
        <v>591</v>
      </c>
      <c r="B192" s="7" t="s">
        <v>592</v>
      </c>
      <c r="C192" s="7" t="s">
        <v>593</v>
      </c>
      <c r="D192" s="7" t="s">
        <v>549</v>
      </c>
      <c r="E192" s="7" t="s">
        <v>550</v>
      </c>
      <c r="F192" s="7" t="s">
        <v>48</v>
      </c>
      <c r="G192" s="7" t="s">
        <v>49</v>
      </c>
      <c r="H192" s="7" t="s">
        <v>58</v>
      </c>
      <c r="I192" s="7" t="s">
        <v>51</v>
      </c>
      <c r="J192" s="7" t="n">
        <v>8</v>
      </c>
      <c r="K192" s="8" t="n">
        <v>3419</v>
      </c>
      <c r="L192" s="9" t="n">
        <v>0</v>
      </c>
      <c r="M192" s="8" t="n">
        <v>20082.56</v>
      </c>
      <c r="N192" s="8" t="n">
        <f aca="false">J192*K192*(1-L192)</f>
        <v>27352</v>
      </c>
      <c r="O192" s="8" t="n">
        <f aca="false">N192-M192</f>
        <v>7269.44</v>
      </c>
      <c r="P192" s="10" t="n">
        <f aca="false">IFERROR(O192/N192,0)</f>
        <v>0.265773618016964</v>
      </c>
      <c r="Q192" s="7" t="str">
        <f aca="false">TEXT(B192,"mmm")</f>
        <v>Oct</v>
      </c>
      <c r="R192" s="7" t="str">
        <f aca="false">TEXT(B192,"yyyy-mm")</f>
        <v>2024-10</v>
      </c>
    </row>
    <row r="193" customFormat="false" ht="15" hidden="false" customHeight="false" outlineLevel="0" collapsed="false">
      <c r="A193" s="7" t="s">
        <v>594</v>
      </c>
      <c r="B193" s="7" t="s">
        <v>595</v>
      </c>
      <c r="C193" s="7" t="s">
        <v>596</v>
      </c>
      <c r="D193" s="7" t="s">
        <v>181</v>
      </c>
      <c r="E193" s="7" t="s">
        <v>182</v>
      </c>
      <c r="F193" s="7" t="s">
        <v>88</v>
      </c>
      <c r="G193" s="7" t="s">
        <v>73</v>
      </c>
      <c r="H193" s="7" t="s">
        <v>74</v>
      </c>
      <c r="I193" s="7" t="s">
        <v>51</v>
      </c>
      <c r="J193" s="7" t="n">
        <v>2</v>
      </c>
      <c r="K193" s="8" t="n">
        <v>4489</v>
      </c>
      <c r="L193" s="9" t="n">
        <v>0.05</v>
      </c>
      <c r="M193" s="8" t="n">
        <v>3911.14</v>
      </c>
      <c r="N193" s="8" t="n">
        <f aca="false">J193*K193*(1-L193)</f>
        <v>8529.1</v>
      </c>
      <c r="O193" s="8" t="n">
        <f aca="false">N193-M193</f>
        <v>4617.96</v>
      </c>
      <c r="P193" s="10" t="n">
        <f aca="false">IFERROR(O193/N193,0)</f>
        <v>0.54143579041165</v>
      </c>
      <c r="Q193" s="7" t="str">
        <f aca="false">TEXT(B193,"mmm")</f>
        <v>Jun</v>
      </c>
      <c r="R193" s="7" t="str">
        <f aca="false">TEXT(B193,"yyyy-mm")</f>
        <v>2024-06</v>
      </c>
    </row>
    <row r="194" customFormat="false" ht="15" hidden="false" customHeight="false" outlineLevel="0" collapsed="false">
      <c r="A194" s="7" t="s">
        <v>597</v>
      </c>
      <c r="B194" s="7" t="s">
        <v>450</v>
      </c>
      <c r="C194" s="7" t="s">
        <v>405</v>
      </c>
      <c r="D194" s="7" t="s">
        <v>135</v>
      </c>
      <c r="E194" s="7" t="s">
        <v>136</v>
      </c>
      <c r="F194" s="7" t="s">
        <v>72</v>
      </c>
      <c r="G194" s="7" t="s">
        <v>81</v>
      </c>
      <c r="H194" s="7" t="s">
        <v>186</v>
      </c>
      <c r="I194" s="7" t="s">
        <v>51</v>
      </c>
      <c r="J194" s="7" t="n">
        <v>4</v>
      </c>
      <c r="K194" s="8" t="n">
        <v>7029</v>
      </c>
      <c r="L194" s="9" t="n">
        <v>0</v>
      </c>
      <c r="M194" s="8" t="n">
        <v>13948.04</v>
      </c>
      <c r="N194" s="8" t="n">
        <f aca="false">J194*K194*(1-L194)</f>
        <v>28116</v>
      </c>
      <c r="O194" s="8" t="n">
        <f aca="false">N194-M194</f>
        <v>14167.96</v>
      </c>
      <c r="P194" s="10" t="n">
        <f aca="false">IFERROR(O194/N194,0)</f>
        <v>0.503910940389814</v>
      </c>
      <c r="Q194" s="7" t="str">
        <f aca="false">TEXT(B194,"mmm")</f>
        <v>Mar</v>
      </c>
      <c r="R194" s="7" t="str">
        <f aca="false">TEXT(B194,"yyyy-mm")</f>
        <v>2024-03</v>
      </c>
    </row>
    <row r="195" customFormat="false" ht="15" hidden="false" customHeight="false" outlineLevel="0" collapsed="false">
      <c r="A195" s="7" t="s">
        <v>598</v>
      </c>
      <c r="B195" s="7" t="s">
        <v>382</v>
      </c>
      <c r="C195" s="7" t="s">
        <v>599</v>
      </c>
      <c r="D195" s="7" t="s">
        <v>360</v>
      </c>
      <c r="E195" s="7" t="s">
        <v>361</v>
      </c>
      <c r="F195" s="7" t="s">
        <v>48</v>
      </c>
      <c r="G195" s="7" t="s">
        <v>65</v>
      </c>
      <c r="H195" s="7" t="s">
        <v>126</v>
      </c>
      <c r="I195" s="7" t="s">
        <v>51</v>
      </c>
      <c r="J195" s="7" t="n">
        <v>2</v>
      </c>
      <c r="K195" s="8" t="n">
        <v>679</v>
      </c>
      <c r="L195" s="9" t="n">
        <v>0.2</v>
      </c>
      <c r="M195" s="8" t="n">
        <v>921.4</v>
      </c>
      <c r="N195" s="8" t="n">
        <f aca="false">J195*K195*(1-L195)</f>
        <v>1086.4</v>
      </c>
      <c r="O195" s="8" t="n">
        <f aca="false">N195-M195</f>
        <v>165</v>
      </c>
      <c r="P195" s="10" t="n">
        <f aca="false">IFERROR(O195/N195,0)</f>
        <v>0.151877761413844</v>
      </c>
      <c r="Q195" s="7" t="str">
        <f aca="false">TEXT(B195,"mmm")</f>
        <v>May</v>
      </c>
      <c r="R195" s="7" t="str">
        <f aca="false">TEXT(B195,"yyyy-mm")</f>
        <v>2024-05</v>
      </c>
    </row>
    <row r="196" customFormat="false" ht="15" hidden="false" customHeight="false" outlineLevel="0" collapsed="false">
      <c r="A196" s="7" t="s">
        <v>600</v>
      </c>
      <c r="B196" s="7" t="s">
        <v>601</v>
      </c>
      <c r="C196" s="7" t="s">
        <v>248</v>
      </c>
      <c r="D196" s="7" t="s">
        <v>441</v>
      </c>
      <c r="E196" s="7" t="s">
        <v>442</v>
      </c>
      <c r="F196" s="7" t="s">
        <v>64</v>
      </c>
      <c r="G196" s="7" t="s">
        <v>81</v>
      </c>
      <c r="H196" s="7" t="s">
        <v>186</v>
      </c>
      <c r="I196" s="7" t="s">
        <v>51</v>
      </c>
      <c r="J196" s="7" t="n">
        <v>9</v>
      </c>
      <c r="K196" s="8" t="n">
        <v>3349</v>
      </c>
      <c r="L196" s="9" t="n">
        <v>0</v>
      </c>
      <c r="M196" s="8" t="n">
        <v>19715.31</v>
      </c>
      <c r="N196" s="8" t="n">
        <f aca="false">J196*K196*(1-L196)</f>
        <v>30141</v>
      </c>
      <c r="O196" s="8" t="n">
        <f aca="false">N196-M196</f>
        <v>10425.69</v>
      </c>
      <c r="P196" s="10" t="n">
        <f aca="false">IFERROR(O196/N196,0)</f>
        <v>0.345897282770976</v>
      </c>
      <c r="Q196" s="7" t="str">
        <f aca="false">TEXT(B196,"mmm")</f>
        <v>Nov</v>
      </c>
      <c r="R196" s="7" t="str">
        <f aca="false">TEXT(B196,"yyyy-mm")</f>
        <v>2024-11</v>
      </c>
    </row>
    <row r="197" customFormat="false" ht="15" hidden="false" customHeight="false" outlineLevel="0" collapsed="false">
      <c r="A197" s="7" t="s">
        <v>602</v>
      </c>
      <c r="B197" s="7" t="s">
        <v>236</v>
      </c>
      <c r="C197" s="7" t="s">
        <v>603</v>
      </c>
      <c r="D197" s="7" t="s">
        <v>170</v>
      </c>
      <c r="E197" s="7" t="s">
        <v>171</v>
      </c>
      <c r="F197" s="7" t="s">
        <v>88</v>
      </c>
      <c r="G197" s="7" t="s">
        <v>49</v>
      </c>
      <c r="H197" s="7" t="s">
        <v>50</v>
      </c>
      <c r="I197" s="7" t="s">
        <v>75</v>
      </c>
      <c r="J197" s="7" t="n">
        <v>5</v>
      </c>
      <c r="K197" s="8" t="n">
        <v>5749</v>
      </c>
      <c r="L197" s="9" t="n">
        <v>0.05</v>
      </c>
      <c r="M197" s="8" t="n">
        <v>15788.55</v>
      </c>
      <c r="N197" s="8" t="n">
        <f aca="false">J197*K197*(1-L197)</f>
        <v>27307.75</v>
      </c>
      <c r="O197" s="8" t="n">
        <f aca="false">N197-M197</f>
        <v>11519.2</v>
      </c>
      <c r="P197" s="10" t="n">
        <f aca="false">IFERROR(O197/N197,0)</f>
        <v>0.421828967966969</v>
      </c>
      <c r="Q197" s="7" t="str">
        <f aca="false">TEXT(B197,"mmm")</f>
        <v>Jan</v>
      </c>
      <c r="R197" s="7" t="str">
        <f aca="false">TEXT(B197,"yyyy-mm")</f>
        <v>2024-01</v>
      </c>
    </row>
    <row r="198" customFormat="false" ht="15" hidden="false" customHeight="false" outlineLevel="0" collapsed="false">
      <c r="A198" s="7" t="s">
        <v>604</v>
      </c>
      <c r="B198" s="7" t="s">
        <v>605</v>
      </c>
      <c r="C198" s="7" t="s">
        <v>537</v>
      </c>
      <c r="D198" s="7" t="s">
        <v>215</v>
      </c>
      <c r="E198" s="7" t="s">
        <v>216</v>
      </c>
      <c r="F198" s="7" t="s">
        <v>57</v>
      </c>
      <c r="G198" s="7" t="s">
        <v>65</v>
      </c>
      <c r="H198" s="7" t="s">
        <v>217</v>
      </c>
      <c r="I198" s="7" t="s">
        <v>51</v>
      </c>
      <c r="J198" s="7" t="n">
        <v>9</v>
      </c>
      <c r="K198" s="8" t="n">
        <v>3749</v>
      </c>
      <c r="L198" s="9" t="n">
        <v>0.05</v>
      </c>
      <c r="M198" s="8" t="n">
        <v>25754.31</v>
      </c>
      <c r="N198" s="8" t="n">
        <f aca="false">J198*K198*(1-L198)</f>
        <v>32053.95</v>
      </c>
      <c r="O198" s="8" t="n">
        <f aca="false">N198-M198</f>
        <v>6299.64</v>
      </c>
      <c r="P198" s="10" t="n">
        <f aca="false">IFERROR(O198/N198,0)</f>
        <v>0.196532408642305</v>
      </c>
      <c r="Q198" s="7" t="str">
        <f aca="false">TEXT(B198,"mmm")</f>
        <v>Nov</v>
      </c>
      <c r="R198" s="7" t="str">
        <f aca="false">TEXT(B198,"yyyy-mm")</f>
        <v>2024-11</v>
      </c>
    </row>
    <row r="199" customFormat="false" ht="15" hidden="false" customHeight="false" outlineLevel="0" collapsed="false">
      <c r="A199" s="7" t="s">
        <v>606</v>
      </c>
      <c r="B199" s="7" t="s">
        <v>607</v>
      </c>
      <c r="C199" s="7" t="s">
        <v>451</v>
      </c>
      <c r="D199" s="7" t="s">
        <v>326</v>
      </c>
      <c r="E199" s="7" t="s">
        <v>327</v>
      </c>
      <c r="F199" s="7" t="s">
        <v>57</v>
      </c>
      <c r="G199" s="7" t="s">
        <v>49</v>
      </c>
      <c r="H199" s="7" t="s">
        <v>100</v>
      </c>
      <c r="I199" s="7" t="s">
        <v>51</v>
      </c>
      <c r="J199" s="7" t="n">
        <v>3</v>
      </c>
      <c r="K199" s="8" t="n">
        <v>5950</v>
      </c>
      <c r="L199" s="9" t="n">
        <v>0.15</v>
      </c>
      <c r="M199" s="8" t="n">
        <v>7250.82</v>
      </c>
      <c r="N199" s="8" t="n">
        <f aca="false">J199*K199*(1-L199)</f>
        <v>15172.5</v>
      </c>
      <c r="O199" s="8" t="n">
        <f aca="false">N199-M199</f>
        <v>7921.68</v>
      </c>
      <c r="P199" s="10" t="n">
        <f aca="false">IFERROR(O199/N199,0)</f>
        <v>0.522107760751359</v>
      </c>
      <c r="Q199" s="7" t="str">
        <f aca="false">TEXT(B199,"mmm")</f>
        <v>Feb</v>
      </c>
      <c r="R199" s="7" t="str">
        <f aca="false">TEXT(B199,"yyyy-mm")</f>
        <v>2024-02</v>
      </c>
    </row>
    <row r="200" customFormat="false" ht="15" hidden="false" customHeight="false" outlineLevel="0" collapsed="false">
      <c r="A200" s="7" t="s">
        <v>608</v>
      </c>
      <c r="B200" s="7" t="s">
        <v>609</v>
      </c>
      <c r="C200" s="7" t="s">
        <v>610</v>
      </c>
      <c r="D200" s="7" t="s">
        <v>201</v>
      </c>
      <c r="E200" s="7" t="s">
        <v>202</v>
      </c>
      <c r="F200" s="7" t="s">
        <v>72</v>
      </c>
      <c r="G200" s="7" t="s">
        <v>81</v>
      </c>
      <c r="H200" s="7" t="s">
        <v>109</v>
      </c>
      <c r="I200" s="7" t="s">
        <v>75</v>
      </c>
      <c r="J200" s="7" t="n">
        <v>4</v>
      </c>
      <c r="K200" s="8" t="n">
        <v>3990</v>
      </c>
      <c r="L200" s="9" t="n">
        <v>0.15</v>
      </c>
      <c r="M200" s="8" t="n">
        <v>12134.44</v>
      </c>
      <c r="N200" s="8" t="n">
        <f aca="false">J200*K200*(1-L200)</f>
        <v>13566</v>
      </c>
      <c r="O200" s="8" t="n">
        <f aca="false">N200-M200</f>
        <v>1431.56</v>
      </c>
      <c r="P200" s="10" t="n">
        <f aca="false">IFERROR(O200/N200,0)</f>
        <v>0.105525578652514</v>
      </c>
      <c r="Q200" s="7" t="str">
        <f aca="false">TEXT(B200,"mmm")</f>
        <v>Sep</v>
      </c>
      <c r="R200" s="7" t="str">
        <f aca="false">TEXT(B200,"yyyy-mm")</f>
        <v>2024-09</v>
      </c>
    </row>
    <row r="201" customFormat="false" ht="15" hidden="false" customHeight="false" outlineLevel="0" collapsed="false">
      <c r="A201" s="7" t="s">
        <v>611</v>
      </c>
      <c r="B201" s="7" t="s">
        <v>612</v>
      </c>
      <c r="C201" s="7" t="s">
        <v>299</v>
      </c>
      <c r="D201" s="7" t="s">
        <v>119</v>
      </c>
      <c r="E201" s="7" t="s">
        <v>120</v>
      </c>
      <c r="F201" s="7" t="s">
        <v>88</v>
      </c>
      <c r="G201" s="7" t="s">
        <v>65</v>
      </c>
      <c r="H201" s="7" t="s">
        <v>126</v>
      </c>
      <c r="I201" s="7" t="s">
        <v>75</v>
      </c>
      <c r="J201" s="7" t="n">
        <v>5</v>
      </c>
      <c r="K201" s="8" t="n">
        <v>620</v>
      </c>
      <c r="L201" s="9" t="n">
        <v>0.15</v>
      </c>
      <c r="M201" s="8" t="n">
        <v>2272.75</v>
      </c>
      <c r="N201" s="8" t="n">
        <f aca="false">J201*K201*(1-L201)</f>
        <v>2635</v>
      </c>
      <c r="O201" s="8" t="n">
        <f aca="false">N201-M201</f>
        <v>362.25</v>
      </c>
      <c r="P201" s="10" t="n">
        <f aca="false">IFERROR(O201/N201,0)</f>
        <v>0.137476280834915</v>
      </c>
      <c r="Q201" s="7" t="str">
        <f aca="false">TEXT(B201,"mmm")</f>
        <v>Apr</v>
      </c>
      <c r="R201" s="7" t="str">
        <f aca="false">TEXT(B201,"yyyy-mm")</f>
        <v>2024-04</v>
      </c>
    </row>
    <row r="202" customFormat="false" ht="15" hidden="false" customHeight="false" outlineLevel="0" collapsed="false">
      <c r="A202" s="7" t="s">
        <v>613</v>
      </c>
      <c r="B202" s="7" t="s">
        <v>614</v>
      </c>
      <c r="C202" s="7" t="s">
        <v>335</v>
      </c>
      <c r="D202" s="7" t="s">
        <v>154</v>
      </c>
      <c r="E202" s="7" t="s">
        <v>155</v>
      </c>
      <c r="F202" s="7" t="s">
        <v>57</v>
      </c>
      <c r="G202" s="7" t="s">
        <v>81</v>
      </c>
      <c r="H202" s="7" t="s">
        <v>186</v>
      </c>
      <c r="I202" s="7" t="s">
        <v>51</v>
      </c>
      <c r="J202" s="7" t="n">
        <v>2</v>
      </c>
      <c r="K202" s="8" t="n">
        <v>2949</v>
      </c>
      <c r="L202" s="9" t="n">
        <v>0</v>
      </c>
      <c r="M202" s="8" t="n">
        <v>3110.78</v>
      </c>
      <c r="N202" s="8" t="n">
        <f aca="false">J202*K202*(1-L202)</f>
        <v>5898</v>
      </c>
      <c r="O202" s="8" t="n">
        <f aca="false">N202-M202</f>
        <v>2787.22</v>
      </c>
      <c r="P202" s="10" t="n">
        <f aca="false">IFERROR(O202/N202,0)</f>
        <v>0.472570362834859</v>
      </c>
      <c r="Q202" s="7" t="str">
        <f aca="false">TEXT(B202,"mmm")</f>
        <v>Jul</v>
      </c>
      <c r="R202" s="7" t="str">
        <f aca="false">TEXT(B202,"yyyy-mm")</f>
        <v>2024-07</v>
      </c>
    </row>
    <row r="203" customFormat="false" ht="15" hidden="false" customHeight="false" outlineLevel="0" collapsed="false">
      <c r="A203" s="7" t="s">
        <v>615</v>
      </c>
      <c r="B203" s="7" t="s">
        <v>616</v>
      </c>
      <c r="C203" s="7" t="s">
        <v>556</v>
      </c>
      <c r="D203" s="7" t="s">
        <v>154</v>
      </c>
      <c r="E203" s="7" t="s">
        <v>155</v>
      </c>
      <c r="F203" s="7" t="s">
        <v>57</v>
      </c>
      <c r="G203" s="7" t="s">
        <v>81</v>
      </c>
      <c r="H203" s="7" t="s">
        <v>82</v>
      </c>
      <c r="I203" s="7" t="s">
        <v>51</v>
      </c>
      <c r="J203" s="7" t="n">
        <v>2</v>
      </c>
      <c r="K203" s="8" t="n">
        <v>2949</v>
      </c>
      <c r="L203" s="9" t="n">
        <v>0</v>
      </c>
      <c r="M203" s="8" t="n">
        <v>3110.78</v>
      </c>
      <c r="N203" s="8" t="n">
        <f aca="false">J203*K203*(1-L203)</f>
        <v>5898</v>
      </c>
      <c r="O203" s="8" t="n">
        <f aca="false">N203-M203</f>
        <v>2787.22</v>
      </c>
      <c r="P203" s="10" t="n">
        <f aca="false">IFERROR(O203/N203,0)</f>
        <v>0.472570362834859</v>
      </c>
      <c r="Q203" s="7" t="str">
        <f aca="false">TEXT(B203,"mmm")</f>
        <v>Aug</v>
      </c>
      <c r="R203" s="7" t="str">
        <f aca="false">TEXT(B203,"yyyy-mm")</f>
        <v>2024-08</v>
      </c>
    </row>
    <row r="204" customFormat="false" ht="15" hidden="false" customHeight="false" outlineLevel="0" collapsed="false">
      <c r="A204" s="7" t="s">
        <v>617</v>
      </c>
      <c r="B204" s="7" t="s">
        <v>618</v>
      </c>
      <c r="C204" s="7" t="s">
        <v>175</v>
      </c>
      <c r="D204" s="7" t="s">
        <v>360</v>
      </c>
      <c r="E204" s="7" t="s">
        <v>361</v>
      </c>
      <c r="F204" s="7" t="s">
        <v>48</v>
      </c>
      <c r="G204" s="7" t="s">
        <v>73</v>
      </c>
      <c r="H204" s="7" t="s">
        <v>74</v>
      </c>
      <c r="I204" s="7" t="s">
        <v>51</v>
      </c>
      <c r="J204" s="7" t="n">
        <v>3</v>
      </c>
      <c r="K204" s="8" t="n">
        <v>679</v>
      </c>
      <c r="L204" s="9" t="n">
        <v>0.1</v>
      </c>
      <c r="M204" s="8" t="n">
        <v>1382.1</v>
      </c>
      <c r="N204" s="8" t="n">
        <f aca="false">J204*K204*(1-L204)</f>
        <v>1833.3</v>
      </c>
      <c r="O204" s="8" t="n">
        <f aca="false">N204-M204</f>
        <v>451.2</v>
      </c>
      <c r="P204" s="10" t="n">
        <f aca="false">IFERROR(O204/N204,0)</f>
        <v>0.246113565701195</v>
      </c>
      <c r="Q204" s="7" t="str">
        <f aca="false">TEXT(B204,"mmm")</f>
        <v>Sep</v>
      </c>
      <c r="R204" s="7" t="str">
        <f aca="false">TEXT(B204,"yyyy-mm")</f>
        <v>2024-09</v>
      </c>
    </row>
    <row r="205" customFormat="false" ht="15" hidden="false" customHeight="false" outlineLevel="0" collapsed="false">
      <c r="A205" s="7" t="s">
        <v>619</v>
      </c>
      <c r="B205" s="7" t="s">
        <v>200</v>
      </c>
      <c r="C205" s="7" t="s">
        <v>620</v>
      </c>
      <c r="D205" s="7" t="s">
        <v>249</v>
      </c>
      <c r="E205" s="7" t="s">
        <v>250</v>
      </c>
      <c r="F205" s="7" t="s">
        <v>57</v>
      </c>
      <c r="G205" s="7" t="s">
        <v>65</v>
      </c>
      <c r="H205" s="7" t="s">
        <v>217</v>
      </c>
      <c r="I205" s="7" t="s">
        <v>75</v>
      </c>
      <c r="J205" s="7" t="n">
        <v>2</v>
      </c>
      <c r="K205" s="8" t="n">
        <v>1730</v>
      </c>
      <c r="L205" s="9" t="n">
        <v>0.2</v>
      </c>
      <c r="M205" s="8" t="n">
        <v>1764.88</v>
      </c>
      <c r="N205" s="8" t="n">
        <f aca="false">J205*K205*(1-L205)</f>
        <v>2768</v>
      </c>
      <c r="O205" s="8" t="n">
        <f aca="false">N205-M205</f>
        <v>1003.12</v>
      </c>
      <c r="P205" s="10" t="n">
        <f aca="false">IFERROR(O205/N205,0)</f>
        <v>0.362398843930636</v>
      </c>
      <c r="Q205" s="7" t="str">
        <f aca="false">TEXT(B205,"mmm")</f>
        <v>May</v>
      </c>
      <c r="R205" s="7" t="str">
        <f aca="false">TEXT(B205,"yyyy-mm")</f>
        <v>2024-05</v>
      </c>
    </row>
    <row r="206" customFormat="false" ht="15" hidden="false" customHeight="false" outlineLevel="0" collapsed="false">
      <c r="A206" s="7" t="s">
        <v>621</v>
      </c>
      <c r="B206" s="7" t="s">
        <v>616</v>
      </c>
      <c r="C206" s="7" t="s">
        <v>622</v>
      </c>
      <c r="D206" s="7" t="s">
        <v>70</v>
      </c>
      <c r="E206" s="7" t="s">
        <v>71</v>
      </c>
      <c r="F206" s="7" t="s">
        <v>72</v>
      </c>
      <c r="G206" s="7" t="s">
        <v>65</v>
      </c>
      <c r="H206" s="7" t="s">
        <v>106</v>
      </c>
      <c r="I206" s="7" t="s">
        <v>51</v>
      </c>
      <c r="J206" s="7" t="n">
        <v>2</v>
      </c>
      <c r="K206" s="8" t="n">
        <v>3059</v>
      </c>
      <c r="L206" s="9" t="n">
        <v>0</v>
      </c>
      <c r="M206" s="8" t="n">
        <v>3212.92</v>
      </c>
      <c r="N206" s="8" t="n">
        <f aca="false">J206*K206*(1-L206)</f>
        <v>6118</v>
      </c>
      <c r="O206" s="8" t="n">
        <f aca="false">N206-M206</f>
        <v>2905.08</v>
      </c>
      <c r="P206" s="10" t="n">
        <f aca="false">IFERROR(O206/N206,0)</f>
        <v>0.474841451454724</v>
      </c>
      <c r="Q206" s="7" t="str">
        <f aca="false">TEXT(B206,"mmm")</f>
        <v>Aug</v>
      </c>
      <c r="R206" s="7" t="str">
        <f aca="false">TEXT(B206,"yyyy-mm")</f>
        <v>2024-08</v>
      </c>
    </row>
    <row r="207" customFormat="false" ht="15" hidden="false" customHeight="false" outlineLevel="0" collapsed="false">
      <c r="A207" s="7" t="s">
        <v>623</v>
      </c>
      <c r="B207" s="7" t="s">
        <v>624</v>
      </c>
      <c r="C207" s="7" t="s">
        <v>99</v>
      </c>
      <c r="D207" s="7" t="s">
        <v>113</v>
      </c>
      <c r="E207" s="7" t="s">
        <v>114</v>
      </c>
      <c r="F207" s="7" t="s">
        <v>57</v>
      </c>
      <c r="G207" s="7" t="s">
        <v>49</v>
      </c>
      <c r="H207" s="7" t="s">
        <v>100</v>
      </c>
      <c r="I207" s="7" t="s">
        <v>51</v>
      </c>
      <c r="J207" s="7" t="n">
        <v>5</v>
      </c>
      <c r="K207" s="8" t="n">
        <v>3069</v>
      </c>
      <c r="L207" s="9" t="n">
        <v>0.15</v>
      </c>
      <c r="M207" s="8" t="n">
        <v>11460.4</v>
      </c>
      <c r="N207" s="8" t="n">
        <f aca="false">J207*K207*(1-L207)</f>
        <v>13043.25</v>
      </c>
      <c r="O207" s="8" t="n">
        <f aca="false">N207-M207</f>
        <v>1582.85</v>
      </c>
      <c r="P207" s="10" t="n">
        <f aca="false">IFERROR(O207/N207,0)</f>
        <v>0.121353957027581</v>
      </c>
      <c r="Q207" s="7" t="str">
        <f aca="false">TEXT(B207,"mmm")</f>
        <v>Aug</v>
      </c>
      <c r="R207" s="7" t="str">
        <f aca="false">TEXT(B207,"yyyy-mm")</f>
        <v>2024-08</v>
      </c>
    </row>
    <row r="208" customFormat="false" ht="15" hidden="false" customHeight="false" outlineLevel="0" collapsed="false">
      <c r="A208" s="7" t="s">
        <v>625</v>
      </c>
      <c r="B208" s="7" t="s">
        <v>626</v>
      </c>
      <c r="C208" s="7" t="s">
        <v>419</v>
      </c>
      <c r="D208" s="7" t="s">
        <v>423</v>
      </c>
      <c r="E208" s="7" t="s">
        <v>424</v>
      </c>
      <c r="F208" s="7" t="s">
        <v>48</v>
      </c>
      <c r="G208" s="7" t="s">
        <v>49</v>
      </c>
      <c r="H208" s="7" t="s">
        <v>50</v>
      </c>
      <c r="I208" s="7" t="s">
        <v>75</v>
      </c>
      <c r="J208" s="7" t="n">
        <v>4</v>
      </c>
      <c r="K208" s="8" t="n">
        <v>5039</v>
      </c>
      <c r="L208" s="9" t="n">
        <v>0</v>
      </c>
      <c r="M208" s="8" t="n">
        <v>7785.44</v>
      </c>
      <c r="N208" s="8" t="n">
        <f aca="false">J208*K208*(1-L208)</f>
        <v>20156</v>
      </c>
      <c r="O208" s="8" t="n">
        <f aca="false">N208-M208</f>
        <v>12370.56</v>
      </c>
      <c r="P208" s="10" t="n">
        <f aca="false">IFERROR(O208/N208,0)</f>
        <v>0.613740821591586</v>
      </c>
      <c r="Q208" s="7" t="str">
        <f aca="false">TEXT(B208,"mmm")</f>
        <v>Feb</v>
      </c>
      <c r="R208" s="7" t="str">
        <f aca="false">TEXT(B208,"yyyy-mm")</f>
        <v>2024-02</v>
      </c>
    </row>
    <row r="209" customFormat="false" ht="15" hidden="false" customHeight="false" outlineLevel="0" collapsed="false">
      <c r="A209" s="7" t="s">
        <v>627</v>
      </c>
      <c r="B209" s="7" t="s">
        <v>628</v>
      </c>
      <c r="C209" s="7" t="s">
        <v>370</v>
      </c>
      <c r="D209" s="7" t="s">
        <v>423</v>
      </c>
      <c r="E209" s="7" t="s">
        <v>424</v>
      </c>
      <c r="F209" s="7" t="s">
        <v>48</v>
      </c>
      <c r="G209" s="7" t="s">
        <v>73</v>
      </c>
      <c r="H209" s="7" t="s">
        <v>115</v>
      </c>
      <c r="I209" s="7" t="s">
        <v>75</v>
      </c>
      <c r="J209" s="7" t="n">
        <v>7</v>
      </c>
      <c r="K209" s="8" t="n">
        <v>5039</v>
      </c>
      <c r="L209" s="9" t="n">
        <v>0</v>
      </c>
      <c r="M209" s="8" t="n">
        <v>13624.52</v>
      </c>
      <c r="N209" s="8" t="n">
        <f aca="false">J209*K209*(1-L209)</f>
        <v>35273</v>
      </c>
      <c r="O209" s="8" t="n">
        <f aca="false">N209-M209</f>
        <v>21648.48</v>
      </c>
      <c r="P209" s="10" t="n">
        <f aca="false">IFERROR(O209/N209,0)</f>
        <v>0.613740821591586</v>
      </c>
      <c r="Q209" s="7" t="str">
        <f aca="false">TEXT(B209,"mmm")</f>
        <v>Apr</v>
      </c>
      <c r="R209" s="7" t="str">
        <f aca="false">TEXT(B209,"yyyy-mm")</f>
        <v>2024-04</v>
      </c>
    </row>
    <row r="210" customFormat="false" ht="15" hidden="false" customHeight="false" outlineLevel="0" collapsed="false">
      <c r="A210" s="7" t="s">
        <v>629</v>
      </c>
      <c r="B210" s="7" t="s">
        <v>630</v>
      </c>
      <c r="C210" s="7" t="s">
        <v>631</v>
      </c>
      <c r="D210" s="7" t="s">
        <v>79</v>
      </c>
      <c r="E210" s="7" t="s">
        <v>80</v>
      </c>
      <c r="F210" s="7" t="s">
        <v>72</v>
      </c>
      <c r="G210" s="7" t="s">
        <v>73</v>
      </c>
      <c r="H210" s="7" t="s">
        <v>211</v>
      </c>
      <c r="I210" s="7" t="s">
        <v>51</v>
      </c>
      <c r="J210" s="7" t="n">
        <v>6</v>
      </c>
      <c r="K210" s="8" t="n">
        <v>4769</v>
      </c>
      <c r="L210" s="9" t="n">
        <v>0</v>
      </c>
      <c r="M210" s="8" t="n">
        <v>16348.86</v>
      </c>
      <c r="N210" s="8" t="n">
        <f aca="false">J210*K210*(1-L210)</f>
        <v>28614</v>
      </c>
      <c r="O210" s="8" t="n">
        <f aca="false">N210-M210</f>
        <v>12265.14</v>
      </c>
      <c r="P210" s="10" t="n">
        <f aca="false">IFERROR(O210/N210,0)</f>
        <v>0.428641224575383</v>
      </c>
      <c r="Q210" s="7" t="str">
        <f aca="false">TEXT(B210,"mmm")</f>
        <v>Sep</v>
      </c>
      <c r="R210" s="7" t="str">
        <f aca="false">TEXT(B210,"yyyy-mm")</f>
        <v>2024-09</v>
      </c>
    </row>
    <row r="211" customFormat="false" ht="15" hidden="false" customHeight="false" outlineLevel="0" collapsed="false">
      <c r="A211" s="7" t="s">
        <v>632</v>
      </c>
      <c r="B211" s="7" t="s">
        <v>147</v>
      </c>
      <c r="C211" s="7" t="s">
        <v>325</v>
      </c>
      <c r="D211" s="7" t="s">
        <v>260</v>
      </c>
      <c r="E211" s="7" t="s">
        <v>261</v>
      </c>
      <c r="F211" s="7" t="s">
        <v>72</v>
      </c>
      <c r="G211" s="7" t="s">
        <v>81</v>
      </c>
      <c r="H211" s="7" t="s">
        <v>82</v>
      </c>
      <c r="I211" s="7" t="s">
        <v>51</v>
      </c>
      <c r="J211" s="7" t="n">
        <v>5</v>
      </c>
      <c r="K211" s="8" t="n">
        <v>4879</v>
      </c>
      <c r="L211" s="9" t="n">
        <v>0.2</v>
      </c>
      <c r="M211" s="8" t="n">
        <v>12168.65</v>
      </c>
      <c r="N211" s="8" t="n">
        <f aca="false">J211*K211*(1-L211)</f>
        <v>19516</v>
      </c>
      <c r="O211" s="8" t="n">
        <f aca="false">N211-M211</f>
        <v>7347.35</v>
      </c>
      <c r="P211" s="10" t="n">
        <f aca="false">IFERROR(O211/N211,0)</f>
        <v>0.376478274236524</v>
      </c>
      <c r="Q211" s="7" t="str">
        <f aca="false">TEXT(B211,"mmm")</f>
        <v>Jan</v>
      </c>
      <c r="R211" s="7" t="str">
        <f aca="false">TEXT(B211,"yyyy-mm")</f>
        <v>2024-01</v>
      </c>
    </row>
    <row r="212" customFormat="false" ht="15" hidden="false" customHeight="false" outlineLevel="0" collapsed="false">
      <c r="A212" s="7" t="s">
        <v>633</v>
      </c>
      <c r="B212" s="7" t="s">
        <v>634</v>
      </c>
      <c r="C212" s="7" t="s">
        <v>243</v>
      </c>
      <c r="D212" s="7" t="s">
        <v>119</v>
      </c>
      <c r="E212" s="7" t="s">
        <v>120</v>
      </c>
      <c r="F212" s="7" t="s">
        <v>88</v>
      </c>
      <c r="G212" s="7" t="s">
        <v>65</v>
      </c>
      <c r="H212" s="7" t="s">
        <v>106</v>
      </c>
      <c r="I212" s="7" t="s">
        <v>51</v>
      </c>
      <c r="J212" s="7" t="n">
        <v>10</v>
      </c>
      <c r="K212" s="8" t="n">
        <v>620</v>
      </c>
      <c r="L212" s="9" t="n">
        <v>0.2</v>
      </c>
      <c r="M212" s="8" t="n">
        <v>4545.5</v>
      </c>
      <c r="N212" s="8" t="n">
        <f aca="false">J212*K212*(1-L212)</f>
        <v>4960</v>
      </c>
      <c r="O212" s="8" t="n">
        <f aca="false">N212-M212</f>
        <v>414.5</v>
      </c>
      <c r="P212" s="10" t="n">
        <f aca="false">IFERROR(O212/N212,0)</f>
        <v>0.0835685483870968</v>
      </c>
      <c r="Q212" s="7" t="str">
        <f aca="false">TEXT(B212,"mmm")</f>
        <v>Oct</v>
      </c>
      <c r="R212" s="7" t="str">
        <f aca="false">TEXT(B212,"yyyy-mm")</f>
        <v>2024-10</v>
      </c>
    </row>
    <row r="213" customFormat="false" ht="15" hidden="false" customHeight="false" outlineLevel="0" collapsed="false">
      <c r="A213" s="7" t="s">
        <v>635</v>
      </c>
      <c r="B213" s="7" t="s">
        <v>636</v>
      </c>
      <c r="C213" s="7" t="s">
        <v>243</v>
      </c>
      <c r="D213" s="7" t="s">
        <v>459</v>
      </c>
      <c r="E213" s="7" t="s">
        <v>460</v>
      </c>
      <c r="F213" s="7" t="s">
        <v>64</v>
      </c>
      <c r="G213" s="7" t="s">
        <v>49</v>
      </c>
      <c r="H213" s="7" t="s">
        <v>100</v>
      </c>
      <c r="I213" s="7" t="s">
        <v>51</v>
      </c>
      <c r="J213" s="7" t="n">
        <v>10</v>
      </c>
      <c r="K213" s="8" t="n">
        <v>1520</v>
      </c>
      <c r="L213" s="9" t="n">
        <v>0.1</v>
      </c>
      <c r="M213" s="8" t="n">
        <v>8857.1</v>
      </c>
      <c r="N213" s="8" t="n">
        <f aca="false">J213*K213*(1-L213)</f>
        <v>13680</v>
      </c>
      <c r="O213" s="8" t="n">
        <f aca="false">N213-M213</f>
        <v>4822.9</v>
      </c>
      <c r="P213" s="10" t="n">
        <f aca="false">IFERROR(O213/N213,0)</f>
        <v>0.352551169590643</v>
      </c>
      <c r="Q213" s="7" t="str">
        <f aca="false">TEXT(B213,"mmm")</f>
        <v>Oct</v>
      </c>
      <c r="R213" s="7" t="str">
        <f aca="false">TEXT(B213,"yyyy-mm")</f>
        <v>2024-10</v>
      </c>
    </row>
    <row r="214" customFormat="false" ht="15" hidden="false" customHeight="false" outlineLevel="0" collapsed="false">
      <c r="A214" s="7" t="s">
        <v>637</v>
      </c>
      <c r="B214" s="7" t="s">
        <v>638</v>
      </c>
      <c r="C214" s="7" t="s">
        <v>440</v>
      </c>
      <c r="D214" s="7" t="s">
        <v>343</v>
      </c>
      <c r="E214" s="7" t="s">
        <v>344</v>
      </c>
      <c r="F214" s="7" t="s">
        <v>88</v>
      </c>
      <c r="G214" s="7" t="s">
        <v>49</v>
      </c>
      <c r="H214" s="7" t="s">
        <v>100</v>
      </c>
      <c r="I214" s="7" t="s">
        <v>51</v>
      </c>
      <c r="J214" s="7" t="n">
        <v>4</v>
      </c>
      <c r="K214" s="8" t="n">
        <v>2169</v>
      </c>
      <c r="L214" s="9" t="n">
        <v>0.25</v>
      </c>
      <c r="M214" s="8" t="n">
        <v>5975.6</v>
      </c>
      <c r="N214" s="8" t="n">
        <f aca="false">J214*K214*(1-L214)</f>
        <v>6507</v>
      </c>
      <c r="O214" s="8" t="n">
        <f aca="false">N214-M214</f>
        <v>531.4</v>
      </c>
      <c r="P214" s="10" t="n">
        <f aca="false">IFERROR(O214/N214,0)</f>
        <v>0.0816658982634086</v>
      </c>
      <c r="Q214" s="7" t="str">
        <f aca="false">TEXT(B214,"mmm")</f>
        <v>Jul</v>
      </c>
      <c r="R214" s="7" t="str">
        <f aca="false">TEXT(B214,"yyyy-mm")</f>
        <v>2024-07</v>
      </c>
    </row>
    <row r="215" customFormat="false" ht="15" hidden="false" customHeight="false" outlineLevel="0" collapsed="false">
      <c r="A215" s="7" t="s">
        <v>639</v>
      </c>
      <c r="B215" s="7" t="s">
        <v>444</v>
      </c>
      <c r="C215" s="7" t="s">
        <v>640</v>
      </c>
      <c r="D215" s="7" t="s">
        <v>201</v>
      </c>
      <c r="E215" s="7" t="s">
        <v>202</v>
      </c>
      <c r="F215" s="7" t="s">
        <v>72</v>
      </c>
      <c r="G215" s="7" t="s">
        <v>65</v>
      </c>
      <c r="H215" s="7" t="s">
        <v>126</v>
      </c>
      <c r="I215" s="7" t="s">
        <v>51</v>
      </c>
      <c r="J215" s="7" t="n">
        <v>4</v>
      </c>
      <c r="K215" s="8" t="n">
        <v>3990</v>
      </c>
      <c r="L215" s="9" t="n">
        <v>0.2</v>
      </c>
      <c r="M215" s="8" t="n">
        <v>12134.44</v>
      </c>
      <c r="N215" s="8" t="n">
        <f aca="false">J215*K215*(1-L215)</f>
        <v>12768</v>
      </c>
      <c r="O215" s="8" t="n">
        <f aca="false">N215-M215</f>
        <v>633.56</v>
      </c>
      <c r="P215" s="10" t="n">
        <f aca="false">IFERROR(O215/N215,0)</f>
        <v>0.0496209273182957</v>
      </c>
      <c r="Q215" s="7" t="str">
        <f aca="false">TEXT(B215,"mmm")</f>
        <v>Aug</v>
      </c>
      <c r="R215" s="7" t="str">
        <f aca="false">TEXT(B215,"yyyy-mm")</f>
        <v>2024-08</v>
      </c>
    </row>
    <row r="216" customFormat="false" ht="15" hidden="false" customHeight="false" outlineLevel="0" collapsed="false">
      <c r="A216" s="7" t="s">
        <v>641</v>
      </c>
      <c r="B216" s="7" t="s">
        <v>634</v>
      </c>
      <c r="C216" s="7" t="s">
        <v>416</v>
      </c>
      <c r="D216" s="7" t="s">
        <v>62</v>
      </c>
      <c r="E216" s="7" t="s">
        <v>63</v>
      </c>
      <c r="F216" s="7" t="s">
        <v>64</v>
      </c>
      <c r="G216" s="7" t="s">
        <v>81</v>
      </c>
      <c r="H216" s="7" t="s">
        <v>186</v>
      </c>
      <c r="I216" s="7" t="s">
        <v>51</v>
      </c>
      <c r="J216" s="7" t="n">
        <v>6</v>
      </c>
      <c r="K216" s="8" t="n">
        <v>7079</v>
      </c>
      <c r="L216" s="9" t="n">
        <v>0</v>
      </c>
      <c r="M216" s="8" t="n">
        <v>16438.68</v>
      </c>
      <c r="N216" s="8" t="n">
        <f aca="false">J216*K216*(1-L216)</f>
        <v>42474</v>
      </c>
      <c r="O216" s="8" t="n">
        <f aca="false">N216-M216</f>
        <v>26035.32</v>
      </c>
      <c r="P216" s="10" t="n">
        <f aca="false">IFERROR(O216/N216,0)</f>
        <v>0.612970758581721</v>
      </c>
      <c r="Q216" s="7" t="str">
        <f aca="false">TEXT(B216,"mmm")</f>
        <v>Oct</v>
      </c>
      <c r="R216" s="7" t="str">
        <f aca="false">TEXT(B216,"yyyy-mm")</f>
        <v>2024-10</v>
      </c>
    </row>
    <row r="217" customFormat="false" ht="15" hidden="false" customHeight="false" outlineLevel="0" collapsed="false">
      <c r="A217" s="7" t="s">
        <v>642</v>
      </c>
      <c r="B217" s="7" t="s">
        <v>634</v>
      </c>
      <c r="C217" s="7" t="s">
        <v>413</v>
      </c>
      <c r="D217" s="7" t="s">
        <v>62</v>
      </c>
      <c r="E217" s="7" t="s">
        <v>63</v>
      </c>
      <c r="F217" s="7" t="s">
        <v>64</v>
      </c>
      <c r="G217" s="7" t="s">
        <v>81</v>
      </c>
      <c r="H217" s="7" t="s">
        <v>109</v>
      </c>
      <c r="I217" s="7" t="s">
        <v>51</v>
      </c>
      <c r="J217" s="7" t="n">
        <v>10</v>
      </c>
      <c r="K217" s="8" t="n">
        <v>7079</v>
      </c>
      <c r="L217" s="9" t="n">
        <v>0</v>
      </c>
      <c r="M217" s="8" t="n">
        <v>27397.8</v>
      </c>
      <c r="N217" s="8" t="n">
        <f aca="false">J217*K217*(1-L217)</f>
        <v>70790</v>
      </c>
      <c r="O217" s="8" t="n">
        <f aca="false">N217-M217</f>
        <v>43392.2</v>
      </c>
      <c r="P217" s="10" t="n">
        <f aca="false">IFERROR(O217/N217,0)</f>
        <v>0.612970758581721</v>
      </c>
      <c r="Q217" s="7" t="str">
        <f aca="false">TEXT(B217,"mmm")</f>
        <v>Oct</v>
      </c>
      <c r="R217" s="7" t="str">
        <f aca="false">TEXT(B217,"yyyy-mm")</f>
        <v>2024-10</v>
      </c>
    </row>
    <row r="218" customFormat="false" ht="15" hidden="false" customHeight="false" outlineLevel="0" collapsed="false">
      <c r="A218" s="7" t="s">
        <v>643</v>
      </c>
      <c r="B218" s="7" t="s">
        <v>644</v>
      </c>
      <c r="C218" s="7" t="s">
        <v>540</v>
      </c>
      <c r="D218" s="7" t="s">
        <v>55</v>
      </c>
      <c r="E218" s="7" t="s">
        <v>56</v>
      </c>
      <c r="F218" s="7" t="s">
        <v>57</v>
      </c>
      <c r="G218" s="7" t="s">
        <v>49</v>
      </c>
      <c r="H218" s="7" t="s">
        <v>58</v>
      </c>
      <c r="I218" s="7" t="s">
        <v>51</v>
      </c>
      <c r="J218" s="7" t="n">
        <v>7</v>
      </c>
      <c r="K218" s="8" t="n">
        <v>2850</v>
      </c>
      <c r="L218" s="9" t="n">
        <v>0.05</v>
      </c>
      <c r="M218" s="8" t="n">
        <v>14897.05</v>
      </c>
      <c r="N218" s="8" t="n">
        <f aca="false">J218*K218*(1-L218)</f>
        <v>18952.5</v>
      </c>
      <c r="O218" s="8" t="n">
        <f aca="false">N218-M218</f>
        <v>4055.45</v>
      </c>
      <c r="P218" s="10" t="n">
        <f aca="false">IFERROR(O218/N218,0)</f>
        <v>0.213979686057248</v>
      </c>
      <c r="Q218" s="7" t="str">
        <f aca="false">TEXT(B218,"mmm")</f>
        <v>Apr</v>
      </c>
      <c r="R218" s="7" t="str">
        <f aca="false">TEXT(B218,"yyyy-mm")</f>
        <v>2024-04</v>
      </c>
    </row>
    <row r="219" customFormat="false" ht="15" hidden="false" customHeight="false" outlineLevel="0" collapsed="false">
      <c r="A219" s="7" t="s">
        <v>645</v>
      </c>
      <c r="B219" s="7" t="s">
        <v>646</v>
      </c>
      <c r="C219" s="7" t="s">
        <v>54</v>
      </c>
      <c r="D219" s="7" t="s">
        <v>62</v>
      </c>
      <c r="E219" s="7" t="s">
        <v>63</v>
      </c>
      <c r="F219" s="7" t="s">
        <v>64</v>
      </c>
      <c r="G219" s="7" t="s">
        <v>81</v>
      </c>
      <c r="H219" s="7" t="s">
        <v>109</v>
      </c>
      <c r="I219" s="7" t="s">
        <v>51</v>
      </c>
      <c r="J219" s="7" t="n">
        <v>2</v>
      </c>
      <c r="K219" s="8" t="n">
        <v>7079</v>
      </c>
      <c r="L219" s="9" t="n">
        <v>0</v>
      </c>
      <c r="M219" s="8" t="n">
        <v>5479.56</v>
      </c>
      <c r="N219" s="8" t="n">
        <f aca="false">J219*K219*(1-L219)</f>
        <v>14158</v>
      </c>
      <c r="O219" s="8" t="n">
        <f aca="false">N219-M219</f>
        <v>8678.44</v>
      </c>
      <c r="P219" s="10" t="n">
        <f aca="false">IFERROR(O219/N219,0)</f>
        <v>0.612970758581721</v>
      </c>
      <c r="Q219" s="7" t="str">
        <f aca="false">TEXT(B219,"mmm")</f>
        <v>Feb</v>
      </c>
      <c r="R219" s="7" t="str">
        <f aca="false">TEXT(B219,"yyyy-mm")</f>
        <v>2024-02</v>
      </c>
    </row>
    <row r="220" customFormat="false" ht="15" hidden="false" customHeight="false" outlineLevel="0" collapsed="false">
      <c r="A220" s="7" t="s">
        <v>647</v>
      </c>
      <c r="B220" s="7" t="s">
        <v>526</v>
      </c>
      <c r="C220" s="7" t="s">
        <v>364</v>
      </c>
      <c r="D220" s="7" t="s">
        <v>176</v>
      </c>
      <c r="E220" s="7" t="s">
        <v>177</v>
      </c>
      <c r="F220" s="7" t="s">
        <v>72</v>
      </c>
      <c r="G220" s="7" t="s">
        <v>49</v>
      </c>
      <c r="H220" s="7" t="s">
        <v>172</v>
      </c>
      <c r="I220" s="7" t="s">
        <v>51</v>
      </c>
      <c r="J220" s="7" t="n">
        <v>4</v>
      </c>
      <c r="K220" s="8" t="n">
        <v>3969</v>
      </c>
      <c r="L220" s="9" t="n">
        <v>0</v>
      </c>
      <c r="M220" s="8" t="n">
        <v>8591.88</v>
      </c>
      <c r="N220" s="8" t="n">
        <f aca="false">J220*K220*(1-L220)</f>
        <v>15876</v>
      </c>
      <c r="O220" s="8" t="n">
        <f aca="false">N220-M220</f>
        <v>7284.12</v>
      </c>
      <c r="P220" s="10" t="n">
        <f aca="false">IFERROR(O220/N220,0)</f>
        <v>0.458813303099017</v>
      </c>
      <c r="Q220" s="7" t="str">
        <f aca="false">TEXT(B220,"mmm")</f>
        <v>Jan</v>
      </c>
      <c r="R220" s="7" t="str">
        <f aca="false">TEXT(B220,"yyyy-mm")</f>
        <v>2024-01</v>
      </c>
    </row>
    <row r="221" customFormat="false" ht="15" hidden="false" customHeight="false" outlineLevel="0" collapsed="false">
      <c r="A221" s="7" t="s">
        <v>648</v>
      </c>
      <c r="B221" s="7" t="s">
        <v>403</v>
      </c>
      <c r="C221" s="7" t="s">
        <v>649</v>
      </c>
      <c r="D221" s="7" t="s">
        <v>295</v>
      </c>
      <c r="E221" s="7" t="s">
        <v>296</v>
      </c>
      <c r="F221" s="7" t="s">
        <v>64</v>
      </c>
      <c r="G221" s="7" t="s">
        <v>65</v>
      </c>
      <c r="H221" s="7" t="s">
        <v>66</v>
      </c>
      <c r="I221" s="7" t="s">
        <v>75</v>
      </c>
      <c r="J221" s="7" t="n">
        <v>4</v>
      </c>
      <c r="K221" s="8" t="n">
        <v>1249</v>
      </c>
      <c r="L221" s="9" t="n">
        <v>0.25</v>
      </c>
      <c r="M221" s="8" t="n">
        <v>3669.24</v>
      </c>
      <c r="N221" s="8" t="n">
        <f aca="false">J221*K221*(1-L221)</f>
        <v>3747</v>
      </c>
      <c r="O221" s="8" t="n">
        <f aca="false">N221-M221</f>
        <v>77.7600000000002</v>
      </c>
      <c r="P221" s="10" t="n">
        <f aca="false">IFERROR(O221/N221,0)</f>
        <v>0.0207526020816654</v>
      </c>
      <c r="Q221" s="7" t="str">
        <f aca="false">TEXT(B221,"mmm")</f>
        <v>Mar</v>
      </c>
      <c r="R221" s="7" t="str">
        <f aca="false">TEXT(B221,"yyyy-mm")</f>
        <v>2024-03</v>
      </c>
    </row>
    <row r="222" customFormat="false" ht="15" hidden="false" customHeight="false" outlineLevel="0" collapsed="false">
      <c r="A222" s="7" t="s">
        <v>650</v>
      </c>
      <c r="B222" s="7" t="s">
        <v>651</v>
      </c>
      <c r="C222" s="7" t="s">
        <v>586</v>
      </c>
      <c r="D222" s="7" t="s">
        <v>154</v>
      </c>
      <c r="E222" s="7" t="s">
        <v>155</v>
      </c>
      <c r="F222" s="7" t="s">
        <v>57</v>
      </c>
      <c r="G222" s="7" t="s">
        <v>73</v>
      </c>
      <c r="H222" s="7" t="s">
        <v>266</v>
      </c>
      <c r="I222" s="7" t="s">
        <v>75</v>
      </c>
      <c r="J222" s="7" t="n">
        <v>6</v>
      </c>
      <c r="K222" s="8" t="n">
        <v>2949</v>
      </c>
      <c r="L222" s="9" t="n">
        <v>0</v>
      </c>
      <c r="M222" s="8" t="n">
        <v>9332.34</v>
      </c>
      <c r="N222" s="8" t="n">
        <f aca="false">J222*K222*(1-L222)</f>
        <v>17694</v>
      </c>
      <c r="O222" s="8" t="n">
        <f aca="false">N222-M222</f>
        <v>8361.66</v>
      </c>
      <c r="P222" s="10" t="n">
        <f aca="false">IFERROR(O222/N222,0)</f>
        <v>0.472570362834859</v>
      </c>
      <c r="Q222" s="7" t="str">
        <f aca="false">TEXT(B222,"mmm")</f>
        <v>Aug</v>
      </c>
      <c r="R222" s="7" t="str">
        <f aca="false">TEXT(B222,"yyyy-mm")</f>
        <v>2024-08</v>
      </c>
    </row>
    <row r="223" customFormat="false" ht="15" hidden="false" customHeight="false" outlineLevel="0" collapsed="false">
      <c r="A223" s="7" t="s">
        <v>652</v>
      </c>
      <c r="B223" s="7" t="s">
        <v>415</v>
      </c>
      <c r="C223" s="7" t="s">
        <v>563</v>
      </c>
      <c r="D223" s="7" t="s">
        <v>124</v>
      </c>
      <c r="E223" s="7" t="s">
        <v>125</v>
      </c>
      <c r="F223" s="7" t="s">
        <v>64</v>
      </c>
      <c r="G223" s="7" t="s">
        <v>81</v>
      </c>
      <c r="H223" s="7" t="s">
        <v>109</v>
      </c>
      <c r="I223" s="7" t="s">
        <v>51</v>
      </c>
      <c r="J223" s="7" t="n">
        <v>5</v>
      </c>
      <c r="K223" s="8" t="n">
        <v>1349</v>
      </c>
      <c r="L223" s="9" t="n">
        <v>0.15</v>
      </c>
      <c r="M223" s="8" t="n">
        <v>3487</v>
      </c>
      <c r="N223" s="8" t="n">
        <f aca="false">J223*K223*(1-L223)</f>
        <v>5733.25</v>
      </c>
      <c r="O223" s="8" t="n">
        <f aca="false">N223-M223</f>
        <v>2246.25</v>
      </c>
      <c r="P223" s="10" t="n">
        <f aca="false">IFERROR(O223/N223,0)</f>
        <v>0.391793485370427</v>
      </c>
      <c r="Q223" s="7" t="str">
        <f aca="false">TEXT(B223,"mmm")</f>
        <v>Mar</v>
      </c>
      <c r="R223" s="7" t="str">
        <f aca="false">TEXT(B223,"yyyy-mm")</f>
        <v>2024-03</v>
      </c>
    </row>
    <row r="224" customFormat="false" ht="15" hidden="false" customHeight="false" outlineLevel="0" collapsed="false">
      <c r="A224" s="7" t="s">
        <v>653</v>
      </c>
      <c r="B224" s="7" t="s">
        <v>654</v>
      </c>
      <c r="C224" s="7" t="s">
        <v>603</v>
      </c>
      <c r="D224" s="7" t="s">
        <v>79</v>
      </c>
      <c r="E224" s="7" t="s">
        <v>80</v>
      </c>
      <c r="F224" s="7" t="s">
        <v>72</v>
      </c>
      <c r="G224" s="7" t="s">
        <v>49</v>
      </c>
      <c r="H224" s="7" t="s">
        <v>100</v>
      </c>
      <c r="I224" s="7" t="s">
        <v>75</v>
      </c>
      <c r="J224" s="7" t="n">
        <v>4</v>
      </c>
      <c r="K224" s="8" t="n">
        <v>4769</v>
      </c>
      <c r="L224" s="9" t="n">
        <v>0.05</v>
      </c>
      <c r="M224" s="8" t="n">
        <v>10899.24</v>
      </c>
      <c r="N224" s="8" t="n">
        <f aca="false">J224*K224*(1-L224)</f>
        <v>18122.2</v>
      </c>
      <c r="O224" s="8" t="n">
        <f aca="false">N224-M224</f>
        <v>7222.96</v>
      </c>
      <c r="P224" s="10" t="n">
        <f aca="false">IFERROR(O224/N224,0)</f>
        <v>0.39856971007935</v>
      </c>
      <c r="Q224" s="7" t="str">
        <f aca="false">TEXT(B224,"mmm")</f>
        <v>Jun</v>
      </c>
      <c r="R224" s="7" t="str">
        <f aca="false">TEXT(B224,"yyyy-mm")</f>
        <v>2024-06</v>
      </c>
    </row>
    <row r="225" customFormat="false" ht="15" hidden="false" customHeight="false" outlineLevel="0" collapsed="false">
      <c r="A225" s="7" t="s">
        <v>655</v>
      </c>
      <c r="B225" s="7" t="s">
        <v>239</v>
      </c>
      <c r="C225" s="7" t="s">
        <v>578</v>
      </c>
      <c r="D225" s="7" t="s">
        <v>149</v>
      </c>
      <c r="E225" s="7" t="s">
        <v>150</v>
      </c>
      <c r="F225" s="7" t="s">
        <v>88</v>
      </c>
      <c r="G225" s="7" t="s">
        <v>65</v>
      </c>
      <c r="H225" s="7" t="s">
        <v>66</v>
      </c>
      <c r="I225" s="7" t="s">
        <v>51</v>
      </c>
      <c r="J225" s="7" t="n">
        <v>4</v>
      </c>
      <c r="K225" s="8" t="n">
        <v>5219</v>
      </c>
      <c r="L225" s="9" t="n">
        <v>0.2</v>
      </c>
      <c r="M225" s="8" t="n">
        <v>13964.16</v>
      </c>
      <c r="N225" s="8" t="n">
        <f aca="false">J225*K225*(1-L225)</f>
        <v>16700.8</v>
      </c>
      <c r="O225" s="8" t="n">
        <f aca="false">N225-M225</f>
        <v>2736.64</v>
      </c>
      <c r="P225" s="10" t="n">
        <f aca="false">IFERROR(O225/N225,0)</f>
        <v>0.163862808967235</v>
      </c>
      <c r="Q225" s="7" t="str">
        <f aca="false">TEXT(B225,"mmm")</f>
        <v>Apr</v>
      </c>
      <c r="R225" s="7" t="str">
        <f aca="false">TEXT(B225,"yyyy-mm")</f>
        <v>2024-04</v>
      </c>
    </row>
    <row r="226" customFormat="false" ht="15" hidden="false" customHeight="false" outlineLevel="0" collapsed="false">
      <c r="A226" s="7" t="s">
        <v>656</v>
      </c>
      <c r="B226" s="7" t="s">
        <v>657</v>
      </c>
      <c r="C226" s="7" t="s">
        <v>166</v>
      </c>
      <c r="D226" s="7" t="s">
        <v>197</v>
      </c>
      <c r="E226" s="7" t="s">
        <v>198</v>
      </c>
      <c r="F226" s="7" t="s">
        <v>64</v>
      </c>
      <c r="G226" s="7" t="s">
        <v>73</v>
      </c>
      <c r="H226" s="7" t="s">
        <v>211</v>
      </c>
      <c r="I226" s="7" t="s">
        <v>51</v>
      </c>
      <c r="J226" s="7" t="n">
        <v>3</v>
      </c>
      <c r="K226" s="8" t="n">
        <v>2910</v>
      </c>
      <c r="L226" s="9" t="n">
        <v>0.1</v>
      </c>
      <c r="M226" s="8" t="n">
        <v>4020.48</v>
      </c>
      <c r="N226" s="8" t="n">
        <f aca="false">J226*K226*(1-L226)</f>
        <v>7857</v>
      </c>
      <c r="O226" s="8" t="n">
        <f aca="false">N226-M226</f>
        <v>3836.52</v>
      </c>
      <c r="P226" s="10" t="n">
        <f aca="false">IFERROR(O226/N226,0)</f>
        <v>0.488293241695304</v>
      </c>
      <c r="Q226" s="7" t="str">
        <f aca="false">TEXT(B226,"mmm")</f>
        <v>Oct</v>
      </c>
      <c r="R226" s="7" t="str">
        <f aca="false">TEXT(B226,"yyyy-mm")</f>
        <v>2024-10</v>
      </c>
    </row>
    <row r="227" customFormat="false" ht="15" hidden="false" customHeight="false" outlineLevel="0" collapsed="false">
      <c r="A227" s="7" t="s">
        <v>658</v>
      </c>
      <c r="B227" s="7" t="s">
        <v>415</v>
      </c>
      <c r="C227" s="7" t="s">
        <v>659</v>
      </c>
      <c r="D227" s="7" t="s">
        <v>423</v>
      </c>
      <c r="E227" s="7" t="s">
        <v>424</v>
      </c>
      <c r="F227" s="7" t="s">
        <v>48</v>
      </c>
      <c r="G227" s="7" t="s">
        <v>65</v>
      </c>
      <c r="H227" s="7" t="s">
        <v>106</v>
      </c>
      <c r="I227" s="7" t="s">
        <v>51</v>
      </c>
      <c r="J227" s="7" t="n">
        <v>3</v>
      </c>
      <c r="K227" s="8" t="n">
        <v>5039</v>
      </c>
      <c r="L227" s="9" t="n">
        <v>0.2</v>
      </c>
      <c r="M227" s="8" t="n">
        <v>5839.08</v>
      </c>
      <c r="N227" s="8" t="n">
        <f aca="false">J227*K227*(1-L227)</f>
        <v>12093.6</v>
      </c>
      <c r="O227" s="8" t="n">
        <f aca="false">N227-M227</f>
        <v>6254.52</v>
      </c>
      <c r="P227" s="10" t="n">
        <f aca="false">IFERROR(O227/N227,0)</f>
        <v>0.517176026989482</v>
      </c>
      <c r="Q227" s="7" t="str">
        <f aca="false">TEXT(B227,"mmm")</f>
        <v>Mar</v>
      </c>
      <c r="R227" s="7" t="str">
        <f aca="false">TEXT(B227,"yyyy-mm")</f>
        <v>2024-03</v>
      </c>
    </row>
    <row r="228" customFormat="false" ht="15" hidden="false" customHeight="false" outlineLevel="0" collapsed="false">
      <c r="A228" s="7" t="s">
        <v>660</v>
      </c>
      <c r="B228" s="7" t="s">
        <v>661</v>
      </c>
      <c r="C228" s="7" t="s">
        <v>148</v>
      </c>
      <c r="D228" s="7" t="s">
        <v>343</v>
      </c>
      <c r="E228" s="7" t="s">
        <v>344</v>
      </c>
      <c r="F228" s="7" t="s">
        <v>88</v>
      </c>
      <c r="G228" s="7" t="s">
        <v>65</v>
      </c>
      <c r="H228" s="7" t="s">
        <v>126</v>
      </c>
      <c r="I228" s="7" t="s">
        <v>75</v>
      </c>
      <c r="J228" s="7" t="n">
        <v>7</v>
      </c>
      <c r="K228" s="8" t="n">
        <v>2169</v>
      </c>
      <c r="L228" s="9" t="n">
        <v>0</v>
      </c>
      <c r="M228" s="8" t="n">
        <v>10457.3</v>
      </c>
      <c r="N228" s="8" t="n">
        <f aca="false">J228*K228*(1-L228)</f>
        <v>15183</v>
      </c>
      <c r="O228" s="8" t="n">
        <f aca="false">N228-M228</f>
        <v>4725.7</v>
      </c>
      <c r="P228" s="10" t="n">
        <f aca="false">IFERROR(O228/N228,0)</f>
        <v>0.311249423697557</v>
      </c>
      <c r="Q228" s="7" t="str">
        <f aca="false">TEXT(B228,"mmm")</f>
        <v>Jan</v>
      </c>
      <c r="R228" s="7" t="str">
        <f aca="false">TEXT(B228,"yyyy-mm")</f>
        <v>2024-01</v>
      </c>
    </row>
    <row r="229" customFormat="false" ht="15" hidden="false" customHeight="false" outlineLevel="0" collapsed="false">
      <c r="A229" s="7" t="s">
        <v>662</v>
      </c>
      <c r="B229" s="7" t="s">
        <v>663</v>
      </c>
      <c r="C229" s="7" t="s">
        <v>664</v>
      </c>
      <c r="D229" s="7" t="s">
        <v>215</v>
      </c>
      <c r="E229" s="7" t="s">
        <v>216</v>
      </c>
      <c r="F229" s="7" t="s">
        <v>57</v>
      </c>
      <c r="G229" s="7" t="s">
        <v>49</v>
      </c>
      <c r="H229" s="7" t="s">
        <v>50</v>
      </c>
      <c r="I229" s="7" t="s">
        <v>51</v>
      </c>
      <c r="J229" s="7" t="n">
        <v>5</v>
      </c>
      <c r="K229" s="8" t="n">
        <v>3749</v>
      </c>
      <c r="L229" s="9" t="n">
        <v>0.1</v>
      </c>
      <c r="M229" s="8" t="n">
        <v>14307.95</v>
      </c>
      <c r="N229" s="8" t="n">
        <f aca="false">J229*K229*(1-L229)</f>
        <v>16870.5</v>
      </c>
      <c r="O229" s="8" t="n">
        <f aca="false">N229-M229</f>
        <v>2562.55</v>
      </c>
      <c r="P229" s="10" t="n">
        <f aca="false">IFERROR(O229/N229,0)</f>
        <v>0.151895320233544</v>
      </c>
      <c r="Q229" s="7" t="str">
        <f aca="false">TEXT(B229,"mmm")</f>
        <v>Jan</v>
      </c>
      <c r="R229" s="7" t="str">
        <f aca="false">TEXT(B229,"yyyy-mm")</f>
        <v>2024-01</v>
      </c>
    </row>
    <row r="230" customFormat="false" ht="15" hidden="false" customHeight="false" outlineLevel="0" collapsed="false">
      <c r="A230" s="7" t="s">
        <v>665</v>
      </c>
      <c r="B230" s="7" t="s">
        <v>666</v>
      </c>
      <c r="C230" s="7" t="s">
        <v>158</v>
      </c>
      <c r="D230" s="7" t="s">
        <v>295</v>
      </c>
      <c r="E230" s="7" t="s">
        <v>296</v>
      </c>
      <c r="F230" s="7" t="s">
        <v>64</v>
      </c>
      <c r="G230" s="7" t="s">
        <v>81</v>
      </c>
      <c r="H230" s="7" t="s">
        <v>82</v>
      </c>
      <c r="I230" s="7" t="s">
        <v>51</v>
      </c>
      <c r="J230" s="7" t="n">
        <v>4</v>
      </c>
      <c r="K230" s="8" t="n">
        <v>1249</v>
      </c>
      <c r="L230" s="9" t="n">
        <v>0</v>
      </c>
      <c r="M230" s="8" t="n">
        <v>3669.24</v>
      </c>
      <c r="N230" s="8" t="n">
        <f aca="false">J230*K230*(1-L230)</f>
        <v>4996</v>
      </c>
      <c r="O230" s="8" t="n">
        <f aca="false">N230-M230</f>
        <v>1326.76</v>
      </c>
      <c r="P230" s="10" t="n">
        <f aca="false">IFERROR(O230/N230,0)</f>
        <v>0.265564451561249</v>
      </c>
      <c r="Q230" s="7" t="str">
        <f aca="false">TEXT(B230,"mmm")</f>
        <v>Jun</v>
      </c>
      <c r="R230" s="7" t="str">
        <f aca="false">TEXT(B230,"yyyy-mm")</f>
        <v>2024-06</v>
      </c>
    </row>
    <row r="231" customFormat="false" ht="15" hidden="false" customHeight="false" outlineLevel="0" collapsed="false">
      <c r="A231" s="7" t="s">
        <v>667</v>
      </c>
      <c r="B231" s="7" t="s">
        <v>574</v>
      </c>
      <c r="C231" s="7" t="s">
        <v>416</v>
      </c>
      <c r="D231" s="7" t="s">
        <v>55</v>
      </c>
      <c r="E231" s="7" t="s">
        <v>56</v>
      </c>
      <c r="F231" s="7" t="s">
        <v>57</v>
      </c>
      <c r="G231" s="7" t="s">
        <v>65</v>
      </c>
      <c r="H231" s="7" t="s">
        <v>66</v>
      </c>
      <c r="I231" s="7" t="s">
        <v>51</v>
      </c>
      <c r="J231" s="7" t="n">
        <v>2</v>
      </c>
      <c r="K231" s="8" t="n">
        <v>2850</v>
      </c>
      <c r="L231" s="9" t="n">
        <v>0.15</v>
      </c>
      <c r="M231" s="8" t="n">
        <v>4256.3</v>
      </c>
      <c r="N231" s="8" t="n">
        <f aca="false">J231*K231*(1-L231)</f>
        <v>4845</v>
      </c>
      <c r="O231" s="8" t="n">
        <f aca="false">N231-M231</f>
        <v>588.7</v>
      </c>
      <c r="P231" s="10" t="n">
        <f aca="false">IFERROR(O231/N231,0)</f>
        <v>0.121506707946336</v>
      </c>
      <c r="Q231" s="7" t="str">
        <f aca="false">TEXT(B231,"mmm")</f>
        <v>May</v>
      </c>
      <c r="R231" s="7" t="str">
        <f aca="false">TEXT(B231,"yyyy-mm")</f>
        <v>2024-05</v>
      </c>
    </row>
    <row r="232" customFormat="false" ht="15" hidden="false" customHeight="false" outlineLevel="0" collapsed="false">
      <c r="A232" s="7" t="s">
        <v>668</v>
      </c>
      <c r="B232" s="7" t="s">
        <v>669</v>
      </c>
      <c r="C232" s="7" t="s">
        <v>670</v>
      </c>
      <c r="D232" s="7" t="s">
        <v>170</v>
      </c>
      <c r="E232" s="7" t="s">
        <v>171</v>
      </c>
      <c r="F232" s="7" t="s">
        <v>88</v>
      </c>
      <c r="G232" s="7" t="s">
        <v>49</v>
      </c>
      <c r="H232" s="7" t="s">
        <v>58</v>
      </c>
      <c r="I232" s="7" t="s">
        <v>51</v>
      </c>
      <c r="J232" s="7" t="n">
        <v>2</v>
      </c>
      <c r="K232" s="8" t="n">
        <v>5749</v>
      </c>
      <c r="L232" s="9" t="n">
        <v>0</v>
      </c>
      <c r="M232" s="8" t="n">
        <v>6315.42</v>
      </c>
      <c r="N232" s="8" t="n">
        <f aca="false">J232*K232*(1-L232)</f>
        <v>11498</v>
      </c>
      <c r="O232" s="8" t="n">
        <f aca="false">N232-M232</f>
        <v>5182.58</v>
      </c>
      <c r="P232" s="10" t="n">
        <f aca="false">IFERROR(O232/N232,0)</f>
        <v>0.450737519568621</v>
      </c>
      <c r="Q232" s="7" t="str">
        <f aca="false">TEXT(B232,"mmm")</f>
        <v>Apr</v>
      </c>
      <c r="R232" s="7" t="str">
        <f aca="false">TEXT(B232,"yyyy-mm")</f>
        <v>2024-04</v>
      </c>
    </row>
    <row r="233" customFormat="false" ht="15" hidden="false" customHeight="false" outlineLevel="0" collapsed="false">
      <c r="A233" s="7" t="s">
        <v>671</v>
      </c>
      <c r="B233" s="7" t="s">
        <v>672</v>
      </c>
      <c r="C233" s="7" t="s">
        <v>226</v>
      </c>
      <c r="D233" s="7" t="s">
        <v>295</v>
      </c>
      <c r="E233" s="7" t="s">
        <v>296</v>
      </c>
      <c r="F233" s="7" t="s">
        <v>64</v>
      </c>
      <c r="G233" s="7" t="s">
        <v>73</v>
      </c>
      <c r="H233" s="7" t="s">
        <v>115</v>
      </c>
      <c r="I233" s="7" t="s">
        <v>75</v>
      </c>
      <c r="J233" s="7" t="n">
        <v>3</v>
      </c>
      <c r="K233" s="8" t="n">
        <v>1249</v>
      </c>
      <c r="L233" s="9" t="n">
        <v>0.15</v>
      </c>
      <c r="M233" s="8" t="n">
        <v>2751.93</v>
      </c>
      <c r="N233" s="8" t="n">
        <f aca="false">J233*K233*(1-L233)</f>
        <v>3184.95</v>
      </c>
      <c r="O233" s="8" t="n">
        <f aca="false">N233-M233</f>
        <v>433.02</v>
      </c>
      <c r="P233" s="10" t="n">
        <f aca="false">IFERROR(O233/N233,0)</f>
        <v>0.135958178307352</v>
      </c>
      <c r="Q233" s="7" t="str">
        <f aca="false">TEXT(B233,"mmm")</f>
        <v>Nov</v>
      </c>
      <c r="R233" s="7" t="str">
        <f aca="false">TEXT(B233,"yyyy-mm")</f>
        <v>2024-11</v>
      </c>
    </row>
    <row r="234" customFormat="false" ht="15" hidden="false" customHeight="false" outlineLevel="0" collapsed="false">
      <c r="A234" s="7" t="s">
        <v>673</v>
      </c>
      <c r="B234" s="7" t="s">
        <v>184</v>
      </c>
      <c r="C234" s="7" t="s">
        <v>69</v>
      </c>
      <c r="D234" s="7" t="s">
        <v>343</v>
      </c>
      <c r="E234" s="7" t="s">
        <v>344</v>
      </c>
      <c r="F234" s="7" t="s">
        <v>88</v>
      </c>
      <c r="G234" s="7" t="s">
        <v>81</v>
      </c>
      <c r="H234" s="7" t="s">
        <v>109</v>
      </c>
      <c r="I234" s="7" t="s">
        <v>51</v>
      </c>
      <c r="J234" s="7" t="n">
        <v>2</v>
      </c>
      <c r="K234" s="8" t="n">
        <v>2169</v>
      </c>
      <c r="L234" s="9" t="n">
        <v>0.05</v>
      </c>
      <c r="M234" s="8" t="n">
        <v>2987.8</v>
      </c>
      <c r="N234" s="8" t="n">
        <f aca="false">J234*K234*(1-L234)</f>
        <v>4121.1</v>
      </c>
      <c r="O234" s="8" t="n">
        <f aca="false">N234-M234</f>
        <v>1133.3</v>
      </c>
      <c r="P234" s="10" t="n">
        <f aca="false">IFERROR(O234/N234,0)</f>
        <v>0.274999393365849</v>
      </c>
      <c r="Q234" s="7" t="str">
        <f aca="false">TEXT(B234,"mmm")</f>
        <v>Mar</v>
      </c>
      <c r="R234" s="7" t="str">
        <f aca="false">TEXT(B234,"yyyy-mm")</f>
        <v>2024-03</v>
      </c>
    </row>
    <row r="235" customFormat="false" ht="15" hidden="false" customHeight="false" outlineLevel="0" collapsed="false">
      <c r="A235" s="7" t="s">
        <v>674</v>
      </c>
      <c r="B235" s="7" t="s">
        <v>675</v>
      </c>
      <c r="C235" s="7" t="s">
        <v>676</v>
      </c>
      <c r="D235" s="7" t="s">
        <v>86</v>
      </c>
      <c r="E235" s="7" t="s">
        <v>87</v>
      </c>
      <c r="F235" s="7" t="s">
        <v>88</v>
      </c>
      <c r="G235" s="7" t="s">
        <v>73</v>
      </c>
      <c r="H235" s="7" t="s">
        <v>211</v>
      </c>
      <c r="I235" s="7" t="s">
        <v>51</v>
      </c>
      <c r="J235" s="7" t="n">
        <v>1</v>
      </c>
      <c r="K235" s="8" t="n">
        <v>3719</v>
      </c>
      <c r="L235" s="9" t="n">
        <v>0</v>
      </c>
      <c r="M235" s="8" t="n">
        <v>1475.37</v>
      </c>
      <c r="N235" s="8" t="n">
        <f aca="false">J235*K235*(1-L235)</f>
        <v>3719</v>
      </c>
      <c r="O235" s="8" t="n">
        <f aca="false">N235-M235</f>
        <v>2243.63</v>
      </c>
      <c r="P235" s="10" t="n">
        <f aca="false">IFERROR(O235/N235,0)</f>
        <v>0.60328851841893</v>
      </c>
      <c r="Q235" s="7" t="str">
        <f aca="false">TEXT(B235,"mmm")</f>
        <v>Mar</v>
      </c>
      <c r="R235" s="7" t="str">
        <f aca="false">TEXT(B235,"yyyy-mm")</f>
        <v>2024-03</v>
      </c>
    </row>
    <row r="236" customFormat="false" ht="15" hidden="false" customHeight="false" outlineLevel="0" collapsed="false">
      <c r="A236" s="7" t="s">
        <v>677</v>
      </c>
      <c r="B236" s="7" t="s">
        <v>678</v>
      </c>
      <c r="C236" s="7" t="s">
        <v>210</v>
      </c>
      <c r="D236" s="7" t="s">
        <v>46</v>
      </c>
      <c r="E236" s="7" t="s">
        <v>47</v>
      </c>
      <c r="F236" s="7" t="s">
        <v>48</v>
      </c>
      <c r="G236" s="7" t="s">
        <v>65</v>
      </c>
      <c r="H236" s="7" t="s">
        <v>126</v>
      </c>
      <c r="I236" s="7" t="s">
        <v>51</v>
      </c>
      <c r="J236" s="7" t="n">
        <v>3</v>
      </c>
      <c r="K236" s="8" t="n">
        <v>4349</v>
      </c>
      <c r="L236" s="9" t="n">
        <v>0.15</v>
      </c>
      <c r="M236" s="8" t="n">
        <v>7466.31</v>
      </c>
      <c r="N236" s="8" t="n">
        <f aca="false">J236*K236*(1-L236)</f>
        <v>11089.95</v>
      </c>
      <c r="O236" s="8" t="n">
        <f aca="false">N236-M236</f>
        <v>3623.64</v>
      </c>
      <c r="P236" s="10" t="n">
        <f aca="false">IFERROR(O236/N236,0)</f>
        <v>0.326749895175361</v>
      </c>
      <c r="Q236" s="7" t="str">
        <f aca="false">TEXT(B236,"mmm")</f>
        <v>Aug</v>
      </c>
      <c r="R236" s="7" t="str">
        <f aca="false">TEXT(B236,"yyyy-mm")</f>
        <v>2024-08</v>
      </c>
    </row>
    <row r="237" customFormat="false" ht="15" hidden="false" customHeight="false" outlineLevel="0" collapsed="false">
      <c r="A237" s="7" t="s">
        <v>679</v>
      </c>
      <c r="B237" s="7" t="s">
        <v>680</v>
      </c>
      <c r="C237" s="7" t="s">
        <v>299</v>
      </c>
      <c r="D237" s="7" t="s">
        <v>464</v>
      </c>
      <c r="E237" s="7" t="s">
        <v>465</v>
      </c>
      <c r="F237" s="7" t="s">
        <v>48</v>
      </c>
      <c r="G237" s="7" t="s">
        <v>73</v>
      </c>
      <c r="H237" s="7" t="s">
        <v>211</v>
      </c>
      <c r="I237" s="7" t="s">
        <v>51</v>
      </c>
      <c r="J237" s="7" t="n">
        <v>4</v>
      </c>
      <c r="K237" s="8" t="n">
        <v>799</v>
      </c>
      <c r="L237" s="9" t="n">
        <v>0</v>
      </c>
      <c r="M237" s="8" t="n">
        <v>1655.92</v>
      </c>
      <c r="N237" s="8" t="n">
        <f aca="false">J237*K237*(1-L237)</f>
        <v>3196</v>
      </c>
      <c r="O237" s="8" t="n">
        <f aca="false">N237-M237</f>
        <v>1540.08</v>
      </c>
      <c r="P237" s="10" t="n">
        <f aca="false">IFERROR(O237/N237,0)</f>
        <v>0.481877346683354</v>
      </c>
      <c r="Q237" s="7" t="str">
        <f aca="false">TEXT(B237,"mmm")</f>
        <v>Mar</v>
      </c>
      <c r="R237" s="7" t="str">
        <f aca="false">TEXT(B237,"yyyy-mm")</f>
        <v>2024-03</v>
      </c>
    </row>
    <row r="238" customFormat="false" ht="15" hidden="false" customHeight="false" outlineLevel="0" collapsed="false">
      <c r="A238" s="7" t="s">
        <v>681</v>
      </c>
      <c r="B238" s="7" t="s">
        <v>514</v>
      </c>
      <c r="C238" s="7" t="s">
        <v>489</v>
      </c>
      <c r="D238" s="7" t="s">
        <v>423</v>
      </c>
      <c r="E238" s="7" t="s">
        <v>424</v>
      </c>
      <c r="F238" s="7" t="s">
        <v>48</v>
      </c>
      <c r="G238" s="7" t="s">
        <v>73</v>
      </c>
      <c r="H238" s="7" t="s">
        <v>211</v>
      </c>
      <c r="I238" s="7" t="s">
        <v>51</v>
      </c>
      <c r="J238" s="7" t="n">
        <v>1</v>
      </c>
      <c r="K238" s="8" t="n">
        <v>5039</v>
      </c>
      <c r="L238" s="9" t="n">
        <v>0</v>
      </c>
      <c r="M238" s="8" t="n">
        <v>1946.36</v>
      </c>
      <c r="N238" s="8" t="n">
        <f aca="false">J238*K238*(1-L238)</f>
        <v>5039</v>
      </c>
      <c r="O238" s="8" t="n">
        <f aca="false">N238-M238</f>
        <v>3092.64</v>
      </c>
      <c r="P238" s="10" t="n">
        <f aca="false">IFERROR(O238/N238,0)</f>
        <v>0.613740821591586</v>
      </c>
      <c r="Q238" s="7" t="str">
        <f aca="false">TEXT(B238,"mmm")</f>
        <v>Jul</v>
      </c>
      <c r="R238" s="7" t="str">
        <f aca="false">TEXT(B238,"yyyy-mm")</f>
        <v>2024-07</v>
      </c>
    </row>
    <row r="239" customFormat="false" ht="15" hidden="false" customHeight="false" outlineLevel="0" collapsed="false">
      <c r="A239" s="7" t="s">
        <v>682</v>
      </c>
      <c r="B239" s="7" t="s">
        <v>128</v>
      </c>
      <c r="C239" s="7" t="s">
        <v>45</v>
      </c>
      <c r="D239" s="7" t="s">
        <v>79</v>
      </c>
      <c r="E239" s="7" t="s">
        <v>80</v>
      </c>
      <c r="F239" s="7" t="s">
        <v>72</v>
      </c>
      <c r="G239" s="7" t="s">
        <v>49</v>
      </c>
      <c r="H239" s="7" t="s">
        <v>50</v>
      </c>
      <c r="I239" s="7" t="s">
        <v>51</v>
      </c>
      <c r="J239" s="7" t="n">
        <v>5</v>
      </c>
      <c r="K239" s="8" t="n">
        <v>4769</v>
      </c>
      <c r="L239" s="9" t="n">
        <v>0.15</v>
      </c>
      <c r="M239" s="8" t="n">
        <v>13624.05</v>
      </c>
      <c r="N239" s="8" t="n">
        <f aca="false">J239*K239*(1-L239)</f>
        <v>20268.25</v>
      </c>
      <c r="O239" s="8" t="n">
        <f aca="false">N239-M239</f>
        <v>6644.2</v>
      </c>
      <c r="P239" s="10" t="n">
        <f aca="false">IFERROR(O239/N239,0)</f>
        <v>0.327813205382803</v>
      </c>
      <c r="Q239" s="7" t="str">
        <f aca="false">TEXT(B239,"mmm")</f>
        <v>Aug</v>
      </c>
      <c r="R239" s="7" t="str">
        <f aca="false">TEXT(B239,"yyyy-mm")</f>
        <v>2024-08</v>
      </c>
    </row>
    <row r="240" customFormat="false" ht="15" hidden="false" customHeight="false" outlineLevel="0" collapsed="false">
      <c r="A240" s="7" t="s">
        <v>683</v>
      </c>
      <c r="B240" s="7" t="s">
        <v>684</v>
      </c>
      <c r="C240" s="7" t="s">
        <v>416</v>
      </c>
      <c r="D240" s="7" t="s">
        <v>104</v>
      </c>
      <c r="E240" s="7" t="s">
        <v>105</v>
      </c>
      <c r="F240" s="7" t="s">
        <v>48</v>
      </c>
      <c r="G240" s="7" t="s">
        <v>81</v>
      </c>
      <c r="H240" s="7" t="s">
        <v>186</v>
      </c>
      <c r="I240" s="7" t="s">
        <v>75</v>
      </c>
      <c r="J240" s="7" t="n">
        <v>3</v>
      </c>
      <c r="K240" s="8" t="n">
        <v>2000</v>
      </c>
      <c r="L240" s="9" t="n">
        <v>0.15</v>
      </c>
      <c r="M240" s="8" t="n">
        <v>2613.9</v>
      </c>
      <c r="N240" s="8" t="n">
        <f aca="false">J240*K240*(1-L240)</f>
        <v>5100</v>
      </c>
      <c r="O240" s="8" t="n">
        <f aca="false">N240-M240</f>
        <v>2486.1</v>
      </c>
      <c r="P240" s="10" t="n">
        <f aca="false">IFERROR(O240/N240,0)</f>
        <v>0.487470588235294</v>
      </c>
      <c r="Q240" s="7" t="str">
        <f aca="false">TEXT(B240,"mmm")</f>
        <v>Sep</v>
      </c>
      <c r="R240" s="7" t="str">
        <f aca="false">TEXT(B240,"yyyy-mm")</f>
        <v>2024-09</v>
      </c>
    </row>
    <row r="241" customFormat="false" ht="15" hidden="false" customHeight="false" outlineLevel="0" collapsed="false">
      <c r="A241" s="7" t="s">
        <v>685</v>
      </c>
      <c r="B241" s="7" t="s">
        <v>225</v>
      </c>
      <c r="C241" s="7" t="s">
        <v>566</v>
      </c>
      <c r="D241" s="7" t="s">
        <v>176</v>
      </c>
      <c r="E241" s="7" t="s">
        <v>177</v>
      </c>
      <c r="F241" s="7" t="s">
        <v>72</v>
      </c>
      <c r="G241" s="7" t="s">
        <v>49</v>
      </c>
      <c r="H241" s="7" t="s">
        <v>58</v>
      </c>
      <c r="I241" s="7" t="s">
        <v>51</v>
      </c>
      <c r="J241" s="7" t="n">
        <v>4</v>
      </c>
      <c r="K241" s="8" t="n">
        <v>3969</v>
      </c>
      <c r="L241" s="9" t="n">
        <v>0</v>
      </c>
      <c r="M241" s="8" t="n">
        <v>8591.88</v>
      </c>
      <c r="N241" s="8" t="n">
        <f aca="false">J241*K241*(1-L241)</f>
        <v>15876</v>
      </c>
      <c r="O241" s="8" t="n">
        <f aca="false">N241-M241</f>
        <v>7284.12</v>
      </c>
      <c r="P241" s="10" t="n">
        <f aca="false">IFERROR(O241/N241,0)</f>
        <v>0.458813303099017</v>
      </c>
      <c r="Q241" s="7" t="str">
        <f aca="false">TEXT(B241,"mmm")</f>
        <v>May</v>
      </c>
      <c r="R241" s="7" t="str">
        <f aca="false">TEXT(B241,"yyyy-mm")</f>
        <v>2024-05</v>
      </c>
    </row>
    <row r="242" customFormat="false" ht="15" hidden="false" customHeight="false" outlineLevel="0" collapsed="false">
      <c r="A242" s="7" t="s">
        <v>686</v>
      </c>
      <c r="B242" s="7" t="s">
        <v>687</v>
      </c>
      <c r="C242" s="7" t="s">
        <v>118</v>
      </c>
      <c r="D242" s="7" t="s">
        <v>104</v>
      </c>
      <c r="E242" s="7" t="s">
        <v>105</v>
      </c>
      <c r="F242" s="7" t="s">
        <v>48</v>
      </c>
      <c r="G242" s="7" t="s">
        <v>49</v>
      </c>
      <c r="H242" s="7" t="s">
        <v>100</v>
      </c>
      <c r="I242" s="7" t="s">
        <v>75</v>
      </c>
      <c r="J242" s="7" t="n">
        <v>5</v>
      </c>
      <c r="K242" s="8" t="n">
        <v>2000</v>
      </c>
      <c r="L242" s="9" t="n">
        <v>0.15</v>
      </c>
      <c r="M242" s="8" t="n">
        <v>4356.5</v>
      </c>
      <c r="N242" s="8" t="n">
        <f aca="false">J242*K242*(1-L242)</f>
        <v>8500</v>
      </c>
      <c r="O242" s="8" t="n">
        <f aca="false">N242-M242</f>
        <v>4143.5</v>
      </c>
      <c r="P242" s="10" t="n">
        <f aca="false">IFERROR(O242/N242,0)</f>
        <v>0.487470588235294</v>
      </c>
      <c r="Q242" s="7" t="str">
        <f aca="false">TEXT(B242,"mmm")</f>
        <v>Sep</v>
      </c>
      <c r="R242" s="7" t="str">
        <f aca="false">TEXT(B242,"yyyy-mm")</f>
        <v>2024-09</v>
      </c>
    </row>
    <row r="243" customFormat="false" ht="15" hidden="false" customHeight="false" outlineLevel="0" collapsed="false">
      <c r="A243" s="7" t="s">
        <v>688</v>
      </c>
      <c r="B243" s="7" t="s">
        <v>689</v>
      </c>
      <c r="C243" s="7" t="s">
        <v>383</v>
      </c>
      <c r="D243" s="7" t="s">
        <v>201</v>
      </c>
      <c r="E243" s="7" t="s">
        <v>202</v>
      </c>
      <c r="F243" s="7" t="s">
        <v>72</v>
      </c>
      <c r="G243" s="7" t="s">
        <v>73</v>
      </c>
      <c r="H243" s="7" t="s">
        <v>266</v>
      </c>
      <c r="I243" s="7" t="s">
        <v>51</v>
      </c>
      <c r="J243" s="7" t="n">
        <v>3</v>
      </c>
      <c r="K243" s="8" t="n">
        <v>3990</v>
      </c>
      <c r="L243" s="9" t="n">
        <v>0</v>
      </c>
      <c r="M243" s="8" t="n">
        <v>9100.83</v>
      </c>
      <c r="N243" s="8" t="n">
        <f aca="false">J243*K243*(1-L243)</f>
        <v>11970</v>
      </c>
      <c r="O243" s="8" t="n">
        <f aca="false">N243-M243</f>
        <v>2869.17</v>
      </c>
      <c r="P243" s="10" t="n">
        <f aca="false">IFERROR(O243/N243,0)</f>
        <v>0.239696741854637</v>
      </c>
      <c r="Q243" s="7" t="str">
        <f aca="false">TEXT(B243,"mmm")</f>
        <v>Jun</v>
      </c>
      <c r="R243" s="7" t="str">
        <f aca="false">TEXT(B243,"yyyy-mm")</f>
        <v>2024-06</v>
      </c>
    </row>
    <row r="244" customFormat="false" ht="15" hidden="false" customHeight="false" outlineLevel="0" collapsed="false">
      <c r="A244" s="7" t="s">
        <v>690</v>
      </c>
      <c r="B244" s="7" t="s">
        <v>691</v>
      </c>
      <c r="C244" s="7" t="s">
        <v>631</v>
      </c>
      <c r="D244" s="7" t="s">
        <v>249</v>
      </c>
      <c r="E244" s="7" t="s">
        <v>250</v>
      </c>
      <c r="F244" s="7" t="s">
        <v>57</v>
      </c>
      <c r="G244" s="7" t="s">
        <v>49</v>
      </c>
      <c r="H244" s="7" t="s">
        <v>172</v>
      </c>
      <c r="I244" s="7" t="s">
        <v>75</v>
      </c>
      <c r="J244" s="7" t="n">
        <v>1</v>
      </c>
      <c r="K244" s="8" t="n">
        <v>1730</v>
      </c>
      <c r="L244" s="9" t="n">
        <v>0</v>
      </c>
      <c r="M244" s="8" t="n">
        <v>882.44</v>
      </c>
      <c r="N244" s="8" t="n">
        <f aca="false">J244*K244*(1-L244)</f>
        <v>1730</v>
      </c>
      <c r="O244" s="8" t="n">
        <f aca="false">N244-M244</f>
        <v>847.56</v>
      </c>
      <c r="P244" s="10" t="n">
        <f aca="false">IFERROR(O244/N244,0)</f>
        <v>0.489919075144509</v>
      </c>
      <c r="Q244" s="7" t="str">
        <f aca="false">TEXT(B244,"mmm")</f>
        <v>Jun</v>
      </c>
      <c r="R244" s="7" t="str">
        <f aca="false">TEXT(B244,"yyyy-mm")</f>
        <v>2024-06</v>
      </c>
    </row>
    <row r="245" customFormat="false" ht="15" hidden="false" customHeight="false" outlineLevel="0" collapsed="false">
      <c r="A245" s="7" t="s">
        <v>692</v>
      </c>
      <c r="B245" s="7" t="s">
        <v>90</v>
      </c>
      <c r="C245" s="7" t="s">
        <v>378</v>
      </c>
      <c r="D245" s="7" t="s">
        <v>459</v>
      </c>
      <c r="E245" s="7" t="s">
        <v>460</v>
      </c>
      <c r="F245" s="7" t="s">
        <v>64</v>
      </c>
      <c r="G245" s="7" t="s">
        <v>65</v>
      </c>
      <c r="H245" s="7" t="s">
        <v>106</v>
      </c>
      <c r="I245" s="7" t="s">
        <v>75</v>
      </c>
      <c r="J245" s="7" t="n">
        <v>4</v>
      </c>
      <c r="K245" s="8" t="n">
        <v>1520</v>
      </c>
      <c r="L245" s="9" t="n">
        <v>0</v>
      </c>
      <c r="M245" s="8" t="n">
        <v>3542.84</v>
      </c>
      <c r="N245" s="8" t="n">
        <f aca="false">J245*K245*(1-L245)</f>
        <v>6080</v>
      </c>
      <c r="O245" s="8" t="n">
        <f aca="false">N245-M245</f>
        <v>2537.16</v>
      </c>
      <c r="P245" s="10" t="n">
        <f aca="false">IFERROR(O245/N245,0)</f>
        <v>0.417296052631579</v>
      </c>
      <c r="Q245" s="7" t="str">
        <f aca="false">TEXT(B245,"mmm")</f>
        <v>Dec</v>
      </c>
      <c r="R245" s="7" t="str">
        <f aca="false">TEXT(B245,"yyyy-mm")</f>
        <v>2024-12</v>
      </c>
    </row>
    <row r="246" customFormat="false" ht="15" hidden="false" customHeight="false" outlineLevel="0" collapsed="false">
      <c r="A246" s="7" t="s">
        <v>693</v>
      </c>
      <c r="B246" s="7" t="s">
        <v>694</v>
      </c>
      <c r="C246" s="7" t="s">
        <v>299</v>
      </c>
      <c r="D246" s="7" t="s">
        <v>79</v>
      </c>
      <c r="E246" s="7" t="s">
        <v>80</v>
      </c>
      <c r="F246" s="7" t="s">
        <v>72</v>
      </c>
      <c r="G246" s="7" t="s">
        <v>49</v>
      </c>
      <c r="H246" s="7" t="s">
        <v>172</v>
      </c>
      <c r="I246" s="7" t="s">
        <v>75</v>
      </c>
      <c r="J246" s="7" t="n">
        <v>3</v>
      </c>
      <c r="K246" s="8" t="n">
        <v>4769</v>
      </c>
      <c r="L246" s="9" t="n">
        <v>0</v>
      </c>
      <c r="M246" s="8" t="n">
        <v>8174.43</v>
      </c>
      <c r="N246" s="8" t="n">
        <f aca="false">J246*K246*(1-L246)</f>
        <v>14307</v>
      </c>
      <c r="O246" s="8" t="n">
        <f aca="false">N246-M246</f>
        <v>6132.57</v>
      </c>
      <c r="P246" s="10" t="n">
        <f aca="false">IFERROR(O246/N246,0)</f>
        <v>0.428641224575383</v>
      </c>
      <c r="Q246" s="7" t="str">
        <f aca="false">TEXT(B246,"mmm")</f>
        <v>May</v>
      </c>
      <c r="R246" s="7" t="str">
        <f aca="false">TEXT(B246,"yyyy-mm")</f>
        <v>2024-05</v>
      </c>
    </row>
    <row r="247" customFormat="false" ht="15" hidden="false" customHeight="false" outlineLevel="0" collapsed="false">
      <c r="A247" s="7" t="s">
        <v>695</v>
      </c>
      <c r="B247" s="7" t="s">
        <v>696</v>
      </c>
      <c r="C247" s="7" t="s">
        <v>243</v>
      </c>
      <c r="D247" s="7" t="s">
        <v>201</v>
      </c>
      <c r="E247" s="7" t="s">
        <v>202</v>
      </c>
      <c r="F247" s="7" t="s">
        <v>72</v>
      </c>
      <c r="G247" s="7" t="s">
        <v>65</v>
      </c>
      <c r="H247" s="7" t="s">
        <v>217</v>
      </c>
      <c r="I247" s="7" t="s">
        <v>51</v>
      </c>
      <c r="J247" s="7" t="n">
        <v>6</v>
      </c>
      <c r="K247" s="8" t="n">
        <v>3990</v>
      </c>
      <c r="L247" s="9" t="n">
        <v>0.05</v>
      </c>
      <c r="M247" s="8" t="n">
        <v>18201.66</v>
      </c>
      <c r="N247" s="8" t="n">
        <f aca="false">J247*K247*(1-L247)</f>
        <v>22743</v>
      </c>
      <c r="O247" s="8" t="n">
        <f aca="false">N247-M247</f>
        <v>4541.34</v>
      </c>
      <c r="P247" s="10" t="n">
        <f aca="false">IFERROR(O247/N247,0)</f>
        <v>0.199680780899617</v>
      </c>
      <c r="Q247" s="7" t="str">
        <f aca="false">TEXT(B247,"mmm")</f>
        <v>May</v>
      </c>
      <c r="R247" s="7" t="str">
        <f aca="false">TEXT(B247,"yyyy-mm")</f>
        <v>2024-05</v>
      </c>
    </row>
    <row r="248" customFormat="false" ht="15" hidden="false" customHeight="false" outlineLevel="0" collapsed="false">
      <c r="A248" s="7" t="s">
        <v>697</v>
      </c>
      <c r="B248" s="7" t="s">
        <v>698</v>
      </c>
      <c r="C248" s="7" t="s">
        <v>699</v>
      </c>
      <c r="D248" s="7" t="s">
        <v>140</v>
      </c>
      <c r="E248" s="7" t="s">
        <v>141</v>
      </c>
      <c r="F248" s="7" t="s">
        <v>57</v>
      </c>
      <c r="G248" s="7" t="s">
        <v>49</v>
      </c>
      <c r="H248" s="7" t="s">
        <v>172</v>
      </c>
      <c r="I248" s="7" t="s">
        <v>51</v>
      </c>
      <c r="J248" s="7" t="n">
        <v>8</v>
      </c>
      <c r="K248" s="8" t="n">
        <v>1440</v>
      </c>
      <c r="L248" s="9" t="n">
        <v>0.1</v>
      </c>
      <c r="M248" s="8" t="n">
        <v>7763.12</v>
      </c>
      <c r="N248" s="8" t="n">
        <f aca="false">J248*K248*(1-L248)</f>
        <v>10368</v>
      </c>
      <c r="O248" s="8" t="n">
        <f aca="false">N248-M248</f>
        <v>2604.88</v>
      </c>
      <c r="P248" s="10" t="n">
        <f aca="false">IFERROR(O248/N248,0)</f>
        <v>0.251242283950617</v>
      </c>
      <c r="Q248" s="7" t="str">
        <f aca="false">TEXT(B248,"mmm")</f>
        <v>Nov</v>
      </c>
      <c r="R248" s="7" t="str">
        <f aca="false">TEXT(B248,"yyyy-mm")</f>
        <v>2024-11</v>
      </c>
    </row>
    <row r="249" customFormat="false" ht="15" hidden="false" customHeight="false" outlineLevel="0" collapsed="false">
      <c r="A249" s="7" t="s">
        <v>700</v>
      </c>
      <c r="B249" s="7" t="s">
        <v>701</v>
      </c>
      <c r="C249" s="7" t="s">
        <v>702</v>
      </c>
      <c r="D249" s="7" t="s">
        <v>144</v>
      </c>
      <c r="E249" s="7" t="s">
        <v>145</v>
      </c>
      <c r="F249" s="7" t="s">
        <v>48</v>
      </c>
      <c r="G249" s="7" t="s">
        <v>73</v>
      </c>
      <c r="H249" s="7" t="s">
        <v>266</v>
      </c>
      <c r="I249" s="7" t="s">
        <v>51</v>
      </c>
      <c r="J249" s="7" t="n">
        <v>4</v>
      </c>
      <c r="K249" s="8" t="n">
        <v>5149</v>
      </c>
      <c r="L249" s="9" t="n">
        <v>0.15</v>
      </c>
      <c r="M249" s="8" t="n">
        <v>8689.92</v>
      </c>
      <c r="N249" s="8" t="n">
        <f aca="false">J249*K249*(1-L249)</f>
        <v>17506.6</v>
      </c>
      <c r="O249" s="8" t="n">
        <f aca="false">N249-M249</f>
        <v>8816.68</v>
      </c>
      <c r="P249" s="10" t="n">
        <f aca="false">IFERROR(O249/N249,0)</f>
        <v>0.503620348896987</v>
      </c>
      <c r="Q249" s="7" t="str">
        <f aca="false">TEXT(B249,"mmm")</f>
        <v>Dec</v>
      </c>
      <c r="R249" s="7" t="str">
        <f aca="false">TEXT(B249,"yyyy-mm")</f>
        <v>2024-12</v>
      </c>
    </row>
    <row r="250" customFormat="false" ht="15" hidden="false" customHeight="false" outlineLevel="0" collapsed="false">
      <c r="A250" s="7" t="s">
        <v>703</v>
      </c>
      <c r="B250" s="7" t="s">
        <v>317</v>
      </c>
      <c r="C250" s="7" t="s">
        <v>364</v>
      </c>
      <c r="D250" s="7" t="s">
        <v>86</v>
      </c>
      <c r="E250" s="7" t="s">
        <v>87</v>
      </c>
      <c r="F250" s="7" t="s">
        <v>88</v>
      </c>
      <c r="G250" s="7" t="s">
        <v>65</v>
      </c>
      <c r="H250" s="7" t="s">
        <v>66</v>
      </c>
      <c r="I250" s="7" t="s">
        <v>51</v>
      </c>
      <c r="J250" s="7" t="n">
        <v>4</v>
      </c>
      <c r="K250" s="8" t="n">
        <v>3719</v>
      </c>
      <c r="L250" s="9" t="n">
        <v>0.1</v>
      </c>
      <c r="M250" s="8" t="n">
        <v>5901.48</v>
      </c>
      <c r="N250" s="8" t="n">
        <f aca="false">J250*K250*(1-L250)</f>
        <v>13388.4</v>
      </c>
      <c r="O250" s="8" t="n">
        <f aca="false">N250-M250</f>
        <v>7486.92</v>
      </c>
      <c r="P250" s="10" t="n">
        <f aca="false">IFERROR(O250/N250,0)</f>
        <v>0.559209464909922</v>
      </c>
      <c r="Q250" s="7" t="str">
        <f aca="false">TEXT(B250,"mmm")</f>
        <v>Apr</v>
      </c>
      <c r="R250" s="7" t="str">
        <f aca="false">TEXT(B250,"yyyy-mm")</f>
        <v>2024-04</v>
      </c>
    </row>
    <row r="251" customFormat="false" ht="15" hidden="false" customHeight="false" outlineLevel="0" collapsed="false">
      <c r="A251" s="7" t="s">
        <v>704</v>
      </c>
      <c r="B251" s="7" t="s">
        <v>705</v>
      </c>
      <c r="C251" s="7" t="s">
        <v>529</v>
      </c>
      <c r="D251" s="7" t="s">
        <v>206</v>
      </c>
      <c r="E251" s="7" t="s">
        <v>207</v>
      </c>
      <c r="F251" s="7" t="s">
        <v>88</v>
      </c>
      <c r="G251" s="7" t="s">
        <v>65</v>
      </c>
      <c r="H251" s="7" t="s">
        <v>217</v>
      </c>
      <c r="I251" s="7" t="s">
        <v>75</v>
      </c>
      <c r="J251" s="7" t="n">
        <v>4</v>
      </c>
      <c r="K251" s="8" t="n">
        <v>1029</v>
      </c>
      <c r="L251" s="9" t="n">
        <v>0.15</v>
      </c>
      <c r="M251" s="8" t="n">
        <v>2514.48</v>
      </c>
      <c r="N251" s="8" t="n">
        <f aca="false">J251*K251*(1-L251)</f>
        <v>3498.6</v>
      </c>
      <c r="O251" s="8" t="n">
        <f aca="false">N251-M251</f>
        <v>984.12</v>
      </c>
      <c r="P251" s="10" t="n">
        <f aca="false">IFERROR(O251/N251,0)</f>
        <v>0.281289658720631</v>
      </c>
      <c r="Q251" s="7" t="str">
        <f aca="false">TEXT(B251,"mmm")</f>
        <v>Dec</v>
      </c>
      <c r="R251" s="7" t="str">
        <f aca="false">TEXT(B251,"yyyy-mm")</f>
        <v>2024-12</v>
      </c>
    </row>
    <row r="252" customFormat="false" ht="15" hidden="false" customHeight="false" outlineLevel="0" collapsed="false">
      <c r="A252" s="7" t="s">
        <v>706</v>
      </c>
      <c r="B252" s="7" t="s">
        <v>421</v>
      </c>
      <c r="C252" s="7" t="s">
        <v>432</v>
      </c>
      <c r="D252" s="7" t="s">
        <v>149</v>
      </c>
      <c r="E252" s="7" t="s">
        <v>150</v>
      </c>
      <c r="F252" s="7" t="s">
        <v>88</v>
      </c>
      <c r="G252" s="7" t="s">
        <v>65</v>
      </c>
      <c r="H252" s="7" t="s">
        <v>217</v>
      </c>
      <c r="I252" s="7" t="s">
        <v>75</v>
      </c>
      <c r="J252" s="7" t="n">
        <v>6</v>
      </c>
      <c r="K252" s="8" t="n">
        <v>5219</v>
      </c>
      <c r="L252" s="9" t="n">
        <v>0.15</v>
      </c>
      <c r="M252" s="8" t="n">
        <v>20946.24</v>
      </c>
      <c r="N252" s="8" t="n">
        <f aca="false">J252*K252*(1-L252)</f>
        <v>26616.9</v>
      </c>
      <c r="O252" s="8" t="n">
        <f aca="false">N252-M252</f>
        <v>5670.66</v>
      </c>
      <c r="P252" s="10" t="n">
        <f aca="false">IFERROR(O252/N252,0)</f>
        <v>0.213047349616221</v>
      </c>
      <c r="Q252" s="7" t="str">
        <f aca="false">TEXT(B252,"mmm")</f>
        <v>Aug</v>
      </c>
      <c r="R252" s="7" t="str">
        <f aca="false">TEXT(B252,"yyyy-mm")</f>
        <v>2024-08</v>
      </c>
    </row>
    <row r="253" customFormat="false" ht="15" hidden="false" customHeight="false" outlineLevel="0" collapsed="false">
      <c r="A253" s="7" t="s">
        <v>707</v>
      </c>
      <c r="B253" s="7" t="s">
        <v>708</v>
      </c>
      <c r="C253" s="7" t="s">
        <v>205</v>
      </c>
      <c r="D253" s="7" t="s">
        <v>249</v>
      </c>
      <c r="E253" s="7" t="s">
        <v>250</v>
      </c>
      <c r="F253" s="7" t="s">
        <v>57</v>
      </c>
      <c r="G253" s="7" t="s">
        <v>73</v>
      </c>
      <c r="H253" s="7" t="s">
        <v>115</v>
      </c>
      <c r="I253" s="7" t="s">
        <v>51</v>
      </c>
      <c r="J253" s="7" t="n">
        <v>2</v>
      </c>
      <c r="K253" s="8" t="n">
        <v>1730</v>
      </c>
      <c r="L253" s="9" t="n">
        <v>0</v>
      </c>
      <c r="M253" s="8" t="n">
        <v>1764.88</v>
      </c>
      <c r="N253" s="8" t="n">
        <f aca="false">J253*K253*(1-L253)</f>
        <v>3460</v>
      </c>
      <c r="O253" s="8" t="n">
        <f aca="false">N253-M253</f>
        <v>1695.12</v>
      </c>
      <c r="P253" s="10" t="n">
        <f aca="false">IFERROR(O253/N253,0)</f>
        <v>0.489919075144509</v>
      </c>
      <c r="Q253" s="7" t="str">
        <f aca="false">TEXT(B253,"mmm")</f>
        <v>Apr</v>
      </c>
      <c r="R253" s="7" t="str">
        <f aca="false">TEXT(B253,"yyyy-mm")</f>
        <v>2024-04</v>
      </c>
    </row>
    <row r="254" customFormat="false" ht="15" hidden="false" customHeight="false" outlineLevel="0" collapsed="false">
      <c r="A254" s="7" t="s">
        <v>709</v>
      </c>
      <c r="B254" s="7" t="s">
        <v>102</v>
      </c>
      <c r="C254" s="7" t="s">
        <v>502</v>
      </c>
      <c r="D254" s="7" t="s">
        <v>201</v>
      </c>
      <c r="E254" s="7" t="s">
        <v>202</v>
      </c>
      <c r="F254" s="7" t="s">
        <v>72</v>
      </c>
      <c r="G254" s="7" t="s">
        <v>49</v>
      </c>
      <c r="H254" s="7" t="s">
        <v>50</v>
      </c>
      <c r="I254" s="7" t="s">
        <v>51</v>
      </c>
      <c r="J254" s="7" t="n">
        <v>4</v>
      </c>
      <c r="K254" s="8" t="n">
        <v>3990</v>
      </c>
      <c r="L254" s="9" t="n">
        <v>0</v>
      </c>
      <c r="M254" s="8" t="n">
        <v>12134.44</v>
      </c>
      <c r="N254" s="8" t="n">
        <f aca="false">J254*K254*(1-L254)</f>
        <v>15960</v>
      </c>
      <c r="O254" s="8" t="n">
        <f aca="false">N254-M254</f>
        <v>3825.56</v>
      </c>
      <c r="P254" s="10" t="n">
        <f aca="false">IFERROR(O254/N254,0)</f>
        <v>0.239696741854637</v>
      </c>
      <c r="Q254" s="7" t="str">
        <f aca="false">TEXT(B254,"mmm")</f>
        <v>Jul</v>
      </c>
      <c r="R254" s="7" t="str">
        <f aca="false">TEXT(B254,"yyyy-mm")</f>
        <v>2024-07</v>
      </c>
    </row>
    <row r="255" customFormat="false" ht="15" hidden="false" customHeight="false" outlineLevel="0" collapsed="false">
      <c r="A255" s="7" t="s">
        <v>710</v>
      </c>
      <c r="B255" s="7" t="s">
        <v>258</v>
      </c>
      <c r="C255" s="7" t="s">
        <v>711</v>
      </c>
      <c r="D255" s="7" t="s">
        <v>360</v>
      </c>
      <c r="E255" s="7" t="s">
        <v>361</v>
      </c>
      <c r="F255" s="7" t="s">
        <v>48</v>
      </c>
      <c r="G255" s="7" t="s">
        <v>73</v>
      </c>
      <c r="H255" s="7" t="s">
        <v>115</v>
      </c>
      <c r="I255" s="7" t="s">
        <v>51</v>
      </c>
      <c r="J255" s="7" t="n">
        <v>2</v>
      </c>
      <c r="K255" s="8" t="n">
        <v>679</v>
      </c>
      <c r="L255" s="9" t="n">
        <v>0.2</v>
      </c>
      <c r="M255" s="8" t="n">
        <v>921.4</v>
      </c>
      <c r="N255" s="8" t="n">
        <f aca="false">J255*K255*(1-L255)</f>
        <v>1086.4</v>
      </c>
      <c r="O255" s="8" t="n">
        <f aca="false">N255-M255</f>
        <v>165</v>
      </c>
      <c r="P255" s="10" t="n">
        <f aca="false">IFERROR(O255/N255,0)</f>
        <v>0.151877761413844</v>
      </c>
      <c r="Q255" s="7" t="str">
        <f aca="false">TEXT(B255,"mmm")</f>
        <v>Feb</v>
      </c>
      <c r="R255" s="7" t="str">
        <f aca="false">TEXT(B255,"yyyy-mm")</f>
        <v>2024-02</v>
      </c>
    </row>
    <row r="256" customFormat="false" ht="15" hidden="false" customHeight="false" outlineLevel="0" collapsed="false">
      <c r="A256" s="7" t="s">
        <v>712</v>
      </c>
      <c r="B256" s="7" t="s">
        <v>713</v>
      </c>
      <c r="C256" s="7" t="s">
        <v>210</v>
      </c>
      <c r="D256" s="7" t="s">
        <v>215</v>
      </c>
      <c r="E256" s="7" t="s">
        <v>216</v>
      </c>
      <c r="F256" s="7" t="s">
        <v>57</v>
      </c>
      <c r="G256" s="7" t="s">
        <v>73</v>
      </c>
      <c r="H256" s="7" t="s">
        <v>211</v>
      </c>
      <c r="I256" s="7" t="s">
        <v>75</v>
      </c>
      <c r="J256" s="7" t="n">
        <v>5</v>
      </c>
      <c r="K256" s="8" t="n">
        <v>3749</v>
      </c>
      <c r="L256" s="9" t="n">
        <v>0.05</v>
      </c>
      <c r="M256" s="8" t="n">
        <v>14307.95</v>
      </c>
      <c r="N256" s="8" t="n">
        <f aca="false">J256*K256*(1-L256)</f>
        <v>17807.75</v>
      </c>
      <c r="O256" s="8" t="n">
        <f aca="false">N256-M256</f>
        <v>3499.8</v>
      </c>
      <c r="P256" s="10" t="n">
        <f aca="false">IFERROR(O256/N256,0)</f>
        <v>0.196532408642305</v>
      </c>
      <c r="Q256" s="7" t="str">
        <f aca="false">TEXT(B256,"mmm")</f>
        <v>Jan</v>
      </c>
      <c r="R256" s="7" t="str">
        <f aca="false">TEXT(B256,"yyyy-mm")</f>
        <v>2024-01</v>
      </c>
    </row>
    <row r="257" customFormat="false" ht="15" hidden="false" customHeight="false" outlineLevel="0" collapsed="false">
      <c r="A257" s="7" t="s">
        <v>714</v>
      </c>
      <c r="B257" s="7" t="s">
        <v>715</v>
      </c>
      <c r="C257" s="7" t="s">
        <v>593</v>
      </c>
      <c r="D257" s="7" t="s">
        <v>70</v>
      </c>
      <c r="E257" s="7" t="s">
        <v>71</v>
      </c>
      <c r="F257" s="7" t="s">
        <v>72</v>
      </c>
      <c r="G257" s="7" t="s">
        <v>73</v>
      </c>
      <c r="H257" s="7" t="s">
        <v>115</v>
      </c>
      <c r="I257" s="7" t="s">
        <v>51</v>
      </c>
      <c r="J257" s="7" t="n">
        <v>3</v>
      </c>
      <c r="K257" s="8" t="n">
        <v>3059</v>
      </c>
      <c r="L257" s="9" t="n">
        <v>0</v>
      </c>
      <c r="M257" s="8" t="n">
        <v>4819.38</v>
      </c>
      <c r="N257" s="8" t="n">
        <f aca="false">J257*K257*(1-L257)</f>
        <v>9177</v>
      </c>
      <c r="O257" s="8" t="n">
        <f aca="false">N257-M257</f>
        <v>4357.62</v>
      </c>
      <c r="P257" s="10" t="n">
        <f aca="false">IFERROR(O257/N257,0)</f>
        <v>0.474841451454724</v>
      </c>
      <c r="Q257" s="7" t="str">
        <f aca="false">TEXT(B257,"mmm")</f>
        <v>Jan</v>
      </c>
      <c r="R257" s="7" t="str">
        <f aca="false">TEXT(B257,"yyyy-mm")</f>
        <v>2024-01</v>
      </c>
    </row>
    <row r="258" customFormat="false" ht="15" hidden="false" customHeight="false" outlineLevel="0" collapsed="false">
      <c r="A258" s="7" t="s">
        <v>716</v>
      </c>
      <c r="B258" s="7" t="s">
        <v>375</v>
      </c>
      <c r="C258" s="7" t="s">
        <v>558</v>
      </c>
      <c r="D258" s="7" t="s">
        <v>197</v>
      </c>
      <c r="E258" s="7" t="s">
        <v>198</v>
      </c>
      <c r="F258" s="7" t="s">
        <v>64</v>
      </c>
      <c r="G258" s="7" t="s">
        <v>81</v>
      </c>
      <c r="H258" s="7" t="s">
        <v>186</v>
      </c>
      <c r="I258" s="7" t="s">
        <v>51</v>
      </c>
      <c r="J258" s="7" t="n">
        <v>5</v>
      </c>
      <c r="K258" s="8" t="n">
        <v>2910</v>
      </c>
      <c r="L258" s="9" t="n">
        <v>0.1</v>
      </c>
      <c r="M258" s="8" t="n">
        <v>6700.8</v>
      </c>
      <c r="N258" s="8" t="n">
        <f aca="false">J258*K258*(1-L258)</f>
        <v>13095</v>
      </c>
      <c r="O258" s="8" t="n">
        <f aca="false">N258-M258</f>
        <v>6394.2</v>
      </c>
      <c r="P258" s="10" t="n">
        <f aca="false">IFERROR(O258/N258,0)</f>
        <v>0.488293241695304</v>
      </c>
      <c r="Q258" s="7" t="str">
        <f aca="false">TEXT(B258,"mmm")</f>
        <v>Nov</v>
      </c>
      <c r="R258" s="7" t="str">
        <f aca="false">TEXT(B258,"yyyy-mm")</f>
        <v>2024-11</v>
      </c>
    </row>
    <row r="259" customFormat="false" ht="15" hidden="false" customHeight="false" outlineLevel="0" collapsed="false">
      <c r="A259" s="7" t="s">
        <v>717</v>
      </c>
      <c r="B259" s="7" t="s">
        <v>718</v>
      </c>
      <c r="C259" s="7" t="s">
        <v>153</v>
      </c>
      <c r="D259" s="7" t="s">
        <v>314</v>
      </c>
      <c r="E259" s="7" t="s">
        <v>315</v>
      </c>
      <c r="F259" s="7" t="s">
        <v>64</v>
      </c>
      <c r="G259" s="7" t="s">
        <v>65</v>
      </c>
      <c r="H259" s="7" t="s">
        <v>126</v>
      </c>
      <c r="I259" s="7" t="s">
        <v>75</v>
      </c>
      <c r="J259" s="7" t="n">
        <v>5</v>
      </c>
      <c r="K259" s="8" t="n">
        <v>4059</v>
      </c>
      <c r="L259" s="9" t="n">
        <v>0.15</v>
      </c>
      <c r="M259" s="8" t="n">
        <v>11397.7</v>
      </c>
      <c r="N259" s="8" t="n">
        <f aca="false">J259*K259*(1-L259)</f>
        <v>17250.75</v>
      </c>
      <c r="O259" s="8" t="n">
        <f aca="false">N259-M259</f>
        <v>5853.05</v>
      </c>
      <c r="P259" s="10" t="n">
        <f aca="false">IFERROR(O259/N259,0)</f>
        <v>0.339292494529223</v>
      </c>
      <c r="Q259" s="7" t="str">
        <f aca="false">TEXT(B259,"mmm")</f>
        <v>Oct</v>
      </c>
      <c r="R259" s="7" t="str">
        <f aca="false">TEXT(B259,"yyyy-mm")</f>
        <v>2024-10</v>
      </c>
    </row>
    <row r="260" customFormat="false" ht="15" hidden="false" customHeight="false" outlineLevel="0" collapsed="false">
      <c r="A260" s="7" t="s">
        <v>719</v>
      </c>
      <c r="B260" s="7" t="s">
        <v>720</v>
      </c>
      <c r="C260" s="7" t="s">
        <v>721</v>
      </c>
      <c r="D260" s="7" t="s">
        <v>176</v>
      </c>
      <c r="E260" s="7" t="s">
        <v>177</v>
      </c>
      <c r="F260" s="7" t="s">
        <v>72</v>
      </c>
      <c r="G260" s="7" t="s">
        <v>73</v>
      </c>
      <c r="H260" s="7" t="s">
        <v>74</v>
      </c>
      <c r="I260" s="7" t="s">
        <v>51</v>
      </c>
      <c r="J260" s="7" t="n">
        <v>2</v>
      </c>
      <c r="K260" s="8" t="n">
        <v>3969</v>
      </c>
      <c r="L260" s="9" t="n">
        <v>0.25</v>
      </c>
      <c r="M260" s="8" t="n">
        <v>4295.94</v>
      </c>
      <c r="N260" s="8" t="n">
        <f aca="false">J260*K260*(1-L260)</f>
        <v>5953.5</v>
      </c>
      <c r="O260" s="8" t="n">
        <f aca="false">N260-M260</f>
        <v>1657.56</v>
      </c>
      <c r="P260" s="10" t="n">
        <f aca="false">IFERROR(O260/N260,0)</f>
        <v>0.278417737465357</v>
      </c>
      <c r="Q260" s="7" t="str">
        <f aca="false">TEXT(B260,"mmm")</f>
        <v>Jun</v>
      </c>
      <c r="R260" s="7" t="str">
        <f aca="false">TEXT(B260,"yyyy-mm")</f>
        <v>2024-06</v>
      </c>
    </row>
    <row r="261" customFormat="false" ht="15" hidden="false" customHeight="false" outlineLevel="0" collapsed="false">
      <c r="A261" s="7" t="s">
        <v>722</v>
      </c>
      <c r="B261" s="7" t="s">
        <v>723</v>
      </c>
      <c r="C261" s="7" t="s">
        <v>724</v>
      </c>
      <c r="D261" s="7" t="s">
        <v>423</v>
      </c>
      <c r="E261" s="7" t="s">
        <v>424</v>
      </c>
      <c r="F261" s="7" t="s">
        <v>48</v>
      </c>
      <c r="G261" s="7" t="s">
        <v>73</v>
      </c>
      <c r="H261" s="7" t="s">
        <v>211</v>
      </c>
      <c r="I261" s="7" t="s">
        <v>75</v>
      </c>
      <c r="J261" s="7" t="n">
        <v>4</v>
      </c>
      <c r="K261" s="8" t="n">
        <v>5039</v>
      </c>
      <c r="L261" s="9" t="n">
        <v>0.25</v>
      </c>
      <c r="M261" s="8" t="n">
        <v>7785.44</v>
      </c>
      <c r="N261" s="8" t="n">
        <f aca="false">J261*K261*(1-L261)</f>
        <v>15117</v>
      </c>
      <c r="O261" s="8" t="n">
        <f aca="false">N261-M261</f>
        <v>7331.56</v>
      </c>
      <c r="P261" s="10" t="n">
        <f aca="false">IFERROR(O261/N261,0)</f>
        <v>0.484987762122114</v>
      </c>
      <c r="Q261" s="7" t="str">
        <f aca="false">TEXT(B261,"mmm")</f>
        <v>Mar</v>
      </c>
      <c r="R261" s="7" t="str">
        <f aca="false">TEXT(B261,"yyyy-mm")</f>
        <v>2024-03</v>
      </c>
    </row>
    <row r="262" customFormat="false" ht="15" hidden="false" customHeight="false" outlineLevel="0" collapsed="false">
      <c r="A262" s="7" t="s">
        <v>725</v>
      </c>
      <c r="B262" s="7" t="s">
        <v>410</v>
      </c>
      <c r="C262" s="7" t="s">
        <v>305</v>
      </c>
      <c r="D262" s="7" t="s">
        <v>360</v>
      </c>
      <c r="E262" s="7" t="s">
        <v>361</v>
      </c>
      <c r="F262" s="7" t="s">
        <v>48</v>
      </c>
      <c r="G262" s="7" t="s">
        <v>73</v>
      </c>
      <c r="H262" s="7" t="s">
        <v>211</v>
      </c>
      <c r="I262" s="7" t="s">
        <v>51</v>
      </c>
      <c r="J262" s="7" t="n">
        <v>7</v>
      </c>
      <c r="K262" s="8" t="n">
        <v>679</v>
      </c>
      <c r="L262" s="9" t="n">
        <v>0.05</v>
      </c>
      <c r="M262" s="8" t="n">
        <v>3224.9</v>
      </c>
      <c r="N262" s="8" t="n">
        <f aca="false">J262*K262*(1-L262)</f>
        <v>4515.35</v>
      </c>
      <c r="O262" s="8" t="n">
        <f aca="false">N262-M262</f>
        <v>1290.45</v>
      </c>
      <c r="P262" s="10" t="n">
        <f aca="false">IFERROR(O262/N262,0)</f>
        <v>0.285791799085342</v>
      </c>
      <c r="Q262" s="7" t="str">
        <f aca="false">TEXT(B262,"mmm")</f>
        <v>Dec</v>
      </c>
      <c r="R262" s="7" t="str">
        <f aca="false">TEXT(B262,"yyyy-mm")</f>
        <v>2024-12</v>
      </c>
    </row>
    <row r="263" customFormat="false" ht="15" hidden="false" customHeight="false" outlineLevel="0" collapsed="false">
      <c r="A263" s="7" t="s">
        <v>726</v>
      </c>
      <c r="B263" s="7" t="s">
        <v>329</v>
      </c>
      <c r="C263" s="7" t="s">
        <v>437</v>
      </c>
      <c r="D263" s="7" t="s">
        <v>227</v>
      </c>
      <c r="E263" s="7" t="s">
        <v>228</v>
      </c>
      <c r="F263" s="7" t="s">
        <v>64</v>
      </c>
      <c r="G263" s="7" t="s">
        <v>81</v>
      </c>
      <c r="H263" s="7" t="s">
        <v>109</v>
      </c>
      <c r="I263" s="7" t="s">
        <v>51</v>
      </c>
      <c r="J263" s="7" t="n">
        <v>3</v>
      </c>
      <c r="K263" s="8" t="n">
        <v>5529</v>
      </c>
      <c r="L263" s="9" t="n">
        <v>0</v>
      </c>
      <c r="M263" s="8" t="n">
        <v>9158.16</v>
      </c>
      <c r="N263" s="8" t="n">
        <f aca="false">J263*K263*(1-L263)</f>
        <v>16587</v>
      </c>
      <c r="O263" s="8" t="n">
        <f aca="false">N263-M263</f>
        <v>7428.84</v>
      </c>
      <c r="P263" s="10" t="n">
        <f aca="false">IFERROR(O263/N263,0)</f>
        <v>0.447871224452885</v>
      </c>
      <c r="Q263" s="7" t="str">
        <f aca="false">TEXT(B263,"mmm")</f>
        <v>Sep</v>
      </c>
      <c r="R263" s="7" t="str">
        <f aca="false">TEXT(B263,"yyyy-mm")</f>
        <v>2024-09</v>
      </c>
    </row>
    <row r="264" customFormat="false" ht="15" hidden="false" customHeight="false" outlineLevel="0" collapsed="false">
      <c r="A264" s="7" t="s">
        <v>727</v>
      </c>
      <c r="B264" s="7" t="s">
        <v>412</v>
      </c>
      <c r="C264" s="7" t="s">
        <v>728</v>
      </c>
      <c r="D264" s="7" t="s">
        <v>162</v>
      </c>
      <c r="E264" s="7" t="s">
        <v>163</v>
      </c>
      <c r="F264" s="7" t="s">
        <v>57</v>
      </c>
      <c r="G264" s="7" t="s">
        <v>49</v>
      </c>
      <c r="H264" s="7" t="s">
        <v>50</v>
      </c>
      <c r="I264" s="7" t="s">
        <v>51</v>
      </c>
      <c r="J264" s="7" t="n">
        <v>4</v>
      </c>
      <c r="K264" s="8" t="n">
        <v>4629</v>
      </c>
      <c r="L264" s="9" t="n">
        <v>0.1</v>
      </c>
      <c r="M264" s="8" t="n">
        <v>8120.68</v>
      </c>
      <c r="N264" s="8" t="n">
        <f aca="false">J264*K264*(1-L264)</f>
        <v>16664.4</v>
      </c>
      <c r="O264" s="8" t="n">
        <f aca="false">N264-M264</f>
        <v>8543.72</v>
      </c>
      <c r="P264" s="10" t="n">
        <f aca="false">IFERROR(O264/N264,0)</f>
        <v>0.512692926237968</v>
      </c>
      <c r="Q264" s="7" t="str">
        <f aca="false">TEXT(B264,"mmm")</f>
        <v>Apr</v>
      </c>
      <c r="R264" s="7" t="str">
        <f aca="false">TEXT(B264,"yyyy-mm")</f>
        <v>2024-04</v>
      </c>
    </row>
    <row r="265" customFormat="false" ht="15" hidden="false" customHeight="false" outlineLevel="0" collapsed="false">
      <c r="A265" s="7" t="s">
        <v>729</v>
      </c>
      <c r="B265" s="7" t="s">
        <v>372</v>
      </c>
      <c r="C265" s="7" t="s">
        <v>535</v>
      </c>
      <c r="D265" s="7" t="s">
        <v>149</v>
      </c>
      <c r="E265" s="7" t="s">
        <v>150</v>
      </c>
      <c r="F265" s="7" t="s">
        <v>88</v>
      </c>
      <c r="G265" s="7" t="s">
        <v>73</v>
      </c>
      <c r="H265" s="7" t="s">
        <v>266</v>
      </c>
      <c r="I265" s="7" t="s">
        <v>51</v>
      </c>
      <c r="J265" s="7" t="n">
        <v>3</v>
      </c>
      <c r="K265" s="8" t="n">
        <v>5219</v>
      </c>
      <c r="L265" s="9" t="n">
        <v>0.15</v>
      </c>
      <c r="M265" s="8" t="n">
        <v>10473.12</v>
      </c>
      <c r="N265" s="8" t="n">
        <f aca="false">J265*K265*(1-L265)</f>
        <v>13308.45</v>
      </c>
      <c r="O265" s="8" t="n">
        <f aca="false">N265-M265</f>
        <v>2835.33</v>
      </c>
      <c r="P265" s="10" t="n">
        <f aca="false">IFERROR(O265/N265,0)</f>
        <v>0.213047349616221</v>
      </c>
      <c r="Q265" s="7" t="str">
        <f aca="false">TEXT(B265,"mmm")</f>
        <v>Nov</v>
      </c>
      <c r="R265" s="7" t="str">
        <f aca="false">TEXT(B265,"yyyy-mm")</f>
        <v>2024-11</v>
      </c>
    </row>
    <row r="266" customFormat="false" ht="15" hidden="false" customHeight="false" outlineLevel="0" collapsed="false">
      <c r="A266" s="7" t="s">
        <v>730</v>
      </c>
      <c r="B266" s="7" t="s">
        <v>731</v>
      </c>
      <c r="C266" s="7" t="s">
        <v>732</v>
      </c>
      <c r="D266" s="7" t="s">
        <v>95</v>
      </c>
      <c r="E266" s="7" t="s">
        <v>96</v>
      </c>
      <c r="F266" s="7" t="s">
        <v>48</v>
      </c>
      <c r="G266" s="7" t="s">
        <v>73</v>
      </c>
      <c r="H266" s="7" t="s">
        <v>74</v>
      </c>
      <c r="I266" s="7" t="s">
        <v>75</v>
      </c>
      <c r="J266" s="7" t="n">
        <v>5</v>
      </c>
      <c r="K266" s="8" t="n">
        <v>5529</v>
      </c>
      <c r="L266" s="9" t="n">
        <v>0.15</v>
      </c>
      <c r="M266" s="8" t="n">
        <v>15581.3</v>
      </c>
      <c r="N266" s="8" t="n">
        <f aca="false">J266*K266*(1-L266)</f>
        <v>23498.25</v>
      </c>
      <c r="O266" s="8" t="n">
        <f aca="false">N266-M266</f>
        <v>7916.95</v>
      </c>
      <c r="P266" s="10" t="n">
        <f aca="false">IFERROR(O266/N266,0)</f>
        <v>0.336916578894173</v>
      </c>
      <c r="Q266" s="7" t="str">
        <f aca="false">TEXT(B266,"mmm")</f>
        <v>Dec</v>
      </c>
      <c r="R266" s="7" t="str">
        <f aca="false">TEXT(B266,"yyyy-mm")</f>
        <v>2024-12</v>
      </c>
    </row>
    <row r="267" customFormat="false" ht="15" hidden="false" customHeight="false" outlineLevel="0" collapsed="false">
      <c r="A267" s="7" t="s">
        <v>733</v>
      </c>
      <c r="B267" s="7" t="s">
        <v>319</v>
      </c>
      <c r="C267" s="7" t="s">
        <v>734</v>
      </c>
      <c r="D267" s="7" t="s">
        <v>314</v>
      </c>
      <c r="E267" s="7" t="s">
        <v>315</v>
      </c>
      <c r="F267" s="7" t="s">
        <v>64</v>
      </c>
      <c r="G267" s="7" t="s">
        <v>49</v>
      </c>
      <c r="H267" s="7" t="s">
        <v>58</v>
      </c>
      <c r="I267" s="7" t="s">
        <v>51</v>
      </c>
      <c r="J267" s="7" t="n">
        <v>1</v>
      </c>
      <c r="K267" s="8" t="n">
        <v>4059</v>
      </c>
      <c r="L267" s="9" t="n">
        <v>0</v>
      </c>
      <c r="M267" s="8" t="n">
        <v>2279.54</v>
      </c>
      <c r="N267" s="8" t="n">
        <f aca="false">J267*K267*(1-L267)</f>
        <v>4059</v>
      </c>
      <c r="O267" s="8" t="n">
        <f aca="false">N267-M267</f>
        <v>1779.46</v>
      </c>
      <c r="P267" s="10" t="n">
        <f aca="false">IFERROR(O267/N267,0)</f>
        <v>0.43839862034984</v>
      </c>
      <c r="Q267" s="7" t="str">
        <f aca="false">TEXT(B267,"mmm")</f>
        <v>Feb</v>
      </c>
      <c r="R267" s="7" t="str">
        <f aca="false">TEXT(B267,"yyyy-mm")</f>
        <v>2024-02</v>
      </c>
    </row>
    <row r="268" customFormat="false" ht="15" hidden="false" customHeight="false" outlineLevel="0" collapsed="false">
      <c r="A268" s="7" t="s">
        <v>735</v>
      </c>
      <c r="B268" s="7" t="s">
        <v>736</v>
      </c>
      <c r="C268" s="7" t="s">
        <v>378</v>
      </c>
      <c r="D268" s="7" t="s">
        <v>360</v>
      </c>
      <c r="E268" s="7" t="s">
        <v>361</v>
      </c>
      <c r="F268" s="7" t="s">
        <v>48</v>
      </c>
      <c r="G268" s="7" t="s">
        <v>73</v>
      </c>
      <c r="H268" s="7" t="s">
        <v>115</v>
      </c>
      <c r="I268" s="7" t="s">
        <v>51</v>
      </c>
      <c r="J268" s="7" t="n">
        <v>5</v>
      </c>
      <c r="K268" s="8" t="n">
        <v>679</v>
      </c>
      <c r="L268" s="9" t="n">
        <v>0.15</v>
      </c>
      <c r="M268" s="8" t="n">
        <v>2303.5</v>
      </c>
      <c r="N268" s="8" t="n">
        <f aca="false">J268*K268*(1-L268)</f>
        <v>2885.75</v>
      </c>
      <c r="O268" s="8" t="n">
        <f aca="false">N268-M268</f>
        <v>582.25</v>
      </c>
      <c r="P268" s="10" t="n">
        <f aca="false">IFERROR(O268/N268,0)</f>
        <v>0.201767304860088</v>
      </c>
      <c r="Q268" s="7" t="str">
        <f aca="false">TEXT(B268,"mmm")</f>
        <v>Aug</v>
      </c>
      <c r="R268" s="7" t="str">
        <f aca="false">TEXT(B268,"yyyy-mm")</f>
        <v>2024-08</v>
      </c>
    </row>
    <row r="269" customFormat="false" ht="15" hidden="false" customHeight="false" outlineLevel="0" collapsed="false">
      <c r="A269" s="7" t="s">
        <v>737</v>
      </c>
      <c r="B269" s="7" t="s">
        <v>444</v>
      </c>
      <c r="C269" s="7" t="s">
        <v>721</v>
      </c>
      <c r="D269" s="7" t="s">
        <v>135</v>
      </c>
      <c r="E269" s="7" t="s">
        <v>136</v>
      </c>
      <c r="F269" s="7" t="s">
        <v>72</v>
      </c>
      <c r="G269" s="7" t="s">
        <v>73</v>
      </c>
      <c r="H269" s="7" t="s">
        <v>115</v>
      </c>
      <c r="I269" s="7" t="s">
        <v>51</v>
      </c>
      <c r="J269" s="7" t="n">
        <v>3</v>
      </c>
      <c r="K269" s="8" t="n">
        <v>7029</v>
      </c>
      <c r="L269" s="9" t="n">
        <v>0</v>
      </c>
      <c r="M269" s="8" t="n">
        <v>10461.03</v>
      </c>
      <c r="N269" s="8" t="n">
        <f aca="false">J269*K269*(1-L269)</f>
        <v>21087</v>
      </c>
      <c r="O269" s="8" t="n">
        <f aca="false">N269-M269</f>
        <v>10625.97</v>
      </c>
      <c r="P269" s="10" t="n">
        <f aca="false">IFERROR(O269/N269,0)</f>
        <v>0.503910940389814</v>
      </c>
      <c r="Q269" s="7" t="str">
        <f aca="false">TEXT(B269,"mmm")</f>
        <v>Aug</v>
      </c>
      <c r="R269" s="7" t="str">
        <f aca="false">TEXT(B269,"yyyy-mm")</f>
        <v>2024-08</v>
      </c>
    </row>
    <row r="270" customFormat="false" ht="15" hidden="false" customHeight="false" outlineLevel="0" collapsed="false">
      <c r="A270" s="7" t="s">
        <v>738</v>
      </c>
      <c r="B270" s="7" t="s">
        <v>663</v>
      </c>
      <c r="C270" s="7" t="s">
        <v>447</v>
      </c>
      <c r="D270" s="7" t="s">
        <v>124</v>
      </c>
      <c r="E270" s="7" t="s">
        <v>125</v>
      </c>
      <c r="F270" s="7" t="s">
        <v>64</v>
      </c>
      <c r="G270" s="7" t="s">
        <v>65</v>
      </c>
      <c r="H270" s="7" t="s">
        <v>106</v>
      </c>
      <c r="I270" s="7" t="s">
        <v>75</v>
      </c>
      <c r="J270" s="7" t="n">
        <v>2</v>
      </c>
      <c r="K270" s="8" t="n">
        <v>1349</v>
      </c>
      <c r="L270" s="9" t="n">
        <v>0.15</v>
      </c>
      <c r="M270" s="8" t="n">
        <v>1394.8</v>
      </c>
      <c r="N270" s="8" t="n">
        <f aca="false">J270*K270*(1-L270)</f>
        <v>2293.3</v>
      </c>
      <c r="O270" s="8" t="n">
        <f aca="false">N270-M270</f>
        <v>898.5</v>
      </c>
      <c r="P270" s="10" t="n">
        <f aca="false">IFERROR(O270/N270,0)</f>
        <v>0.391793485370427</v>
      </c>
      <c r="Q270" s="7" t="str">
        <f aca="false">TEXT(B270,"mmm")</f>
        <v>Jan</v>
      </c>
      <c r="R270" s="7" t="str">
        <f aca="false">TEXT(B270,"yyyy-mm")</f>
        <v>2024-01</v>
      </c>
    </row>
    <row r="271" customFormat="false" ht="15" hidden="false" customHeight="false" outlineLevel="0" collapsed="false">
      <c r="A271" s="7" t="s">
        <v>739</v>
      </c>
      <c r="B271" s="7" t="s">
        <v>418</v>
      </c>
      <c r="C271" s="7" t="s">
        <v>478</v>
      </c>
      <c r="D271" s="7" t="s">
        <v>423</v>
      </c>
      <c r="E271" s="7" t="s">
        <v>424</v>
      </c>
      <c r="F271" s="7" t="s">
        <v>48</v>
      </c>
      <c r="G271" s="7" t="s">
        <v>73</v>
      </c>
      <c r="H271" s="7" t="s">
        <v>74</v>
      </c>
      <c r="I271" s="7" t="s">
        <v>51</v>
      </c>
      <c r="J271" s="7" t="n">
        <v>2</v>
      </c>
      <c r="K271" s="8" t="n">
        <v>5039</v>
      </c>
      <c r="L271" s="9" t="n">
        <v>0.1</v>
      </c>
      <c r="M271" s="8" t="n">
        <v>3892.72</v>
      </c>
      <c r="N271" s="8" t="n">
        <f aca="false">J271*K271*(1-L271)</f>
        <v>9070.2</v>
      </c>
      <c r="O271" s="8" t="n">
        <f aca="false">N271-M271</f>
        <v>5177.48</v>
      </c>
      <c r="P271" s="10" t="n">
        <f aca="false">IFERROR(O271/N271,0)</f>
        <v>0.570823135101762</v>
      </c>
      <c r="Q271" s="7" t="str">
        <f aca="false">TEXT(B271,"mmm")</f>
        <v>Jul</v>
      </c>
      <c r="R271" s="7" t="str">
        <f aca="false">TEXT(B271,"yyyy-mm")</f>
        <v>2024-07</v>
      </c>
    </row>
    <row r="272" customFormat="false" ht="15" hidden="false" customHeight="false" outlineLevel="0" collapsed="false">
      <c r="A272" s="7" t="s">
        <v>740</v>
      </c>
      <c r="B272" s="7" t="s">
        <v>741</v>
      </c>
      <c r="C272" s="7" t="s">
        <v>742</v>
      </c>
      <c r="D272" s="7" t="s">
        <v>176</v>
      </c>
      <c r="E272" s="7" t="s">
        <v>177</v>
      </c>
      <c r="F272" s="7" t="s">
        <v>72</v>
      </c>
      <c r="G272" s="7" t="s">
        <v>81</v>
      </c>
      <c r="H272" s="7" t="s">
        <v>109</v>
      </c>
      <c r="I272" s="7" t="s">
        <v>51</v>
      </c>
      <c r="J272" s="7" t="n">
        <v>1</v>
      </c>
      <c r="K272" s="8" t="n">
        <v>3969</v>
      </c>
      <c r="L272" s="9" t="n">
        <v>0.25</v>
      </c>
      <c r="M272" s="8" t="n">
        <v>2147.97</v>
      </c>
      <c r="N272" s="8" t="n">
        <f aca="false">J272*K272*(1-L272)</f>
        <v>2976.75</v>
      </c>
      <c r="O272" s="8" t="n">
        <f aca="false">N272-M272</f>
        <v>828.78</v>
      </c>
      <c r="P272" s="10" t="n">
        <f aca="false">IFERROR(O272/N272,0)</f>
        <v>0.278417737465357</v>
      </c>
      <c r="Q272" s="7" t="str">
        <f aca="false">TEXT(B272,"mmm")</f>
        <v>Jul</v>
      </c>
      <c r="R272" s="7" t="str">
        <f aca="false">TEXT(B272,"yyyy-mm")</f>
        <v>2024-07</v>
      </c>
    </row>
    <row r="273" customFormat="false" ht="15" hidden="false" customHeight="false" outlineLevel="0" collapsed="false">
      <c r="A273" s="7" t="s">
        <v>743</v>
      </c>
      <c r="B273" s="7" t="s">
        <v>209</v>
      </c>
      <c r="C273" s="7" t="s">
        <v>744</v>
      </c>
      <c r="D273" s="7" t="s">
        <v>104</v>
      </c>
      <c r="E273" s="7" t="s">
        <v>105</v>
      </c>
      <c r="F273" s="7" t="s">
        <v>48</v>
      </c>
      <c r="G273" s="7" t="s">
        <v>73</v>
      </c>
      <c r="H273" s="7" t="s">
        <v>266</v>
      </c>
      <c r="I273" s="7" t="s">
        <v>51</v>
      </c>
      <c r="J273" s="7" t="n">
        <v>5</v>
      </c>
      <c r="K273" s="8" t="n">
        <v>2000</v>
      </c>
      <c r="L273" s="9" t="n">
        <v>0</v>
      </c>
      <c r="M273" s="8" t="n">
        <v>4356.5</v>
      </c>
      <c r="N273" s="8" t="n">
        <f aca="false">J273*K273*(1-L273)</f>
        <v>10000</v>
      </c>
      <c r="O273" s="8" t="n">
        <f aca="false">N273-M273</f>
        <v>5643.5</v>
      </c>
      <c r="P273" s="10" t="n">
        <f aca="false">IFERROR(O273/N273,0)</f>
        <v>0.56435</v>
      </c>
      <c r="Q273" s="7" t="str">
        <f aca="false">TEXT(B273,"mmm")</f>
        <v>Dec</v>
      </c>
      <c r="R273" s="7" t="str">
        <f aca="false">TEXT(B273,"yyyy-mm")</f>
        <v>2024-12</v>
      </c>
    </row>
    <row r="274" customFormat="false" ht="15" hidden="false" customHeight="false" outlineLevel="0" collapsed="false">
      <c r="A274" s="7" t="s">
        <v>745</v>
      </c>
      <c r="B274" s="7" t="s">
        <v>684</v>
      </c>
      <c r="C274" s="7" t="s">
        <v>537</v>
      </c>
      <c r="D274" s="7" t="s">
        <v>162</v>
      </c>
      <c r="E274" s="7" t="s">
        <v>163</v>
      </c>
      <c r="F274" s="7" t="s">
        <v>57</v>
      </c>
      <c r="G274" s="7" t="s">
        <v>65</v>
      </c>
      <c r="H274" s="7" t="s">
        <v>66</v>
      </c>
      <c r="I274" s="7" t="s">
        <v>51</v>
      </c>
      <c r="J274" s="7" t="n">
        <v>5</v>
      </c>
      <c r="K274" s="8" t="n">
        <v>4629</v>
      </c>
      <c r="L274" s="9" t="n">
        <v>0</v>
      </c>
      <c r="M274" s="8" t="n">
        <v>10150.85</v>
      </c>
      <c r="N274" s="8" t="n">
        <f aca="false">J274*K274*(1-L274)</f>
        <v>23145</v>
      </c>
      <c r="O274" s="8" t="n">
        <f aca="false">N274-M274</f>
        <v>12994.15</v>
      </c>
      <c r="P274" s="10" t="n">
        <f aca="false">IFERROR(O274/N274,0)</f>
        <v>0.561423633614172</v>
      </c>
      <c r="Q274" s="7" t="str">
        <f aca="false">TEXT(B274,"mmm")</f>
        <v>Sep</v>
      </c>
      <c r="R274" s="7" t="str">
        <f aca="false">TEXT(B274,"yyyy-mm")</f>
        <v>2024-09</v>
      </c>
    </row>
    <row r="275" customFormat="false" ht="15" hidden="false" customHeight="false" outlineLevel="0" collapsed="false">
      <c r="A275" s="7" t="s">
        <v>746</v>
      </c>
      <c r="B275" s="7" t="s">
        <v>444</v>
      </c>
      <c r="C275" s="7" t="s">
        <v>747</v>
      </c>
      <c r="D275" s="7" t="s">
        <v>95</v>
      </c>
      <c r="E275" s="7" t="s">
        <v>96</v>
      </c>
      <c r="F275" s="7" t="s">
        <v>48</v>
      </c>
      <c r="G275" s="7" t="s">
        <v>65</v>
      </c>
      <c r="H275" s="7" t="s">
        <v>106</v>
      </c>
      <c r="I275" s="7" t="s">
        <v>75</v>
      </c>
      <c r="J275" s="7" t="n">
        <v>2</v>
      </c>
      <c r="K275" s="8" t="n">
        <v>5529</v>
      </c>
      <c r="L275" s="9" t="n">
        <v>0.2</v>
      </c>
      <c r="M275" s="8" t="n">
        <v>6232.52</v>
      </c>
      <c r="N275" s="8" t="n">
        <f aca="false">J275*K275*(1-L275)</f>
        <v>8846.4</v>
      </c>
      <c r="O275" s="8" t="n">
        <f aca="false">N275-M275</f>
        <v>2613.88</v>
      </c>
      <c r="P275" s="10" t="n">
        <f aca="false">IFERROR(O275/N275,0)</f>
        <v>0.295473865075059</v>
      </c>
      <c r="Q275" s="7" t="str">
        <f aca="false">TEXT(B275,"mmm")</f>
        <v>Aug</v>
      </c>
      <c r="R275" s="7" t="str">
        <f aca="false">TEXT(B275,"yyyy-mm")</f>
        <v>2024-08</v>
      </c>
    </row>
    <row r="276" customFormat="false" ht="15" hidden="false" customHeight="false" outlineLevel="0" collapsed="false">
      <c r="A276" s="7" t="s">
        <v>748</v>
      </c>
      <c r="B276" s="7" t="s">
        <v>749</v>
      </c>
      <c r="C276" s="7" t="s">
        <v>529</v>
      </c>
      <c r="D276" s="7" t="s">
        <v>326</v>
      </c>
      <c r="E276" s="7" t="s">
        <v>327</v>
      </c>
      <c r="F276" s="7" t="s">
        <v>57</v>
      </c>
      <c r="G276" s="7" t="s">
        <v>49</v>
      </c>
      <c r="H276" s="7" t="s">
        <v>100</v>
      </c>
      <c r="I276" s="7" t="s">
        <v>75</v>
      </c>
      <c r="J276" s="7" t="n">
        <v>3</v>
      </c>
      <c r="K276" s="8" t="n">
        <v>5950</v>
      </c>
      <c r="L276" s="9" t="n">
        <v>0.15</v>
      </c>
      <c r="M276" s="8" t="n">
        <v>7250.82</v>
      </c>
      <c r="N276" s="8" t="n">
        <f aca="false">J276*K276*(1-L276)</f>
        <v>15172.5</v>
      </c>
      <c r="O276" s="8" t="n">
        <f aca="false">N276-M276</f>
        <v>7921.68</v>
      </c>
      <c r="P276" s="10" t="n">
        <f aca="false">IFERROR(O276/N276,0)</f>
        <v>0.522107760751359</v>
      </c>
      <c r="Q276" s="7" t="str">
        <f aca="false">TEXT(B276,"mmm")</f>
        <v>Dec</v>
      </c>
      <c r="R276" s="7" t="str">
        <f aca="false">TEXT(B276,"yyyy-mm")</f>
        <v>2024-12</v>
      </c>
    </row>
    <row r="277" customFormat="false" ht="15" hidden="false" customHeight="false" outlineLevel="0" collapsed="false">
      <c r="A277" s="7" t="s">
        <v>750</v>
      </c>
      <c r="B277" s="7" t="s">
        <v>565</v>
      </c>
      <c r="C277" s="7" t="s">
        <v>751</v>
      </c>
      <c r="D277" s="7" t="s">
        <v>215</v>
      </c>
      <c r="E277" s="7" t="s">
        <v>216</v>
      </c>
      <c r="F277" s="7" t="s">
        <v>57</v>
      </c>
      <c r="G277" s="7" t="s">
        <v>65</v>
      </c>
      <c r="H277" s="7" t="s">
        <v>106</v>
      </c>
      <c r="I277" s="7" t="s">
        <v>51</v>
      </c>
      <c r="J277" s="7" t="n">
        <v>8</v>
      </c>
      <c r="K277" s="8" t="n">
        <v>3749</v>
      </c>
      <c r="L277" s="9" t="n">
        <v>0</v>
      </c>
      <c r="M277" s="8" t="n">
        <v>22892.72</v>
      </c>
      <c r="N277" s="8" t="n">
        <f aca="false">J277*K277*(1-L277)</f>
        <v>29992</v>
      </c>
      <c r="O277" s="8" t="n">
        <f aca="false">N277-M277</f>
        <v>7099.28</v>
      </c>
      <c r="P277" s="10" t="n">
        <f aca="false">IFERROR(O277/N277,0)</f>
        <v>0.236705788210189</v>
      </c>
      <c r="Q277" s="7" t="str">
        <f aca="false">TEXT(B277,"mmm")</f>
        <v>Oct</v>
      </c>
      <c r="R277" s="7" t="str">
        <f aca="false">TEXT(B277,"yyyy-mm")</f>
        <v>2024-10</v>
      </c>
    </row>
    <row r="278" customFormat="false" ht="15" hidden="false" customHeight="false" outlineLevel="0" collapsed="false">
      <c r="A278" s="7" t="s">
        <v>752</v>
      </c>
      <c r="B278" s="7" t="s">
        <v>753</v>
      </c>
      <c r="C278" s="7" t="s">
        <v>589</v>
      </c>
      <c r="D278" s="7" t="s">
        <v>149</v>
      </c>
      <c r="E278" s="7" t="s">
        <v>150</v>
      </c>
      <c r="F278" s="7" t="s">
        <v>88</v>
      </c>
      <c r="G278" s="7" t="s">
        <v>81</v>
      </c>
      <c r="H278" s="7" t="s">
        <v>109</v>
      </c>
      <c r="I278" s="7" t="s">
        <v>75</v>
      </c>
      <c r="J278" s="7" t="n">
        <v>3</v>
      </c>
      <c r="K278" s="8" t="n">
        <v>5219</v>
      </c>
      <c r="L278" s="9" t="n">
        <v>0.1</v>
      </c>
      <c r="M278" s="8" t="n">
        <v>10473.12</v>
      </c>
      <c r="N278" s="8" t="n">
        <f aca="false">J278*K278*(1-L278)</f>
        <v>14091.3</v>
      </c>
      <c r="O278" s="8" t="n">
        <f aca="false">N278-M278</f>
        <v>3618.18</v>
      </c>
      <c r="P278" s="10" t="n">
        <f aca="false">IFERROR(O278/N278,0)</f>
        <v>0.256766941304209</v>
      </c>
      <c r="Q278" s="7" t="str">
        <f aca="false">TEXT(B278,"mmm")</f>
        <v>Sep</v>
      </c>
      <c r="R278" s="7" t="str">
        <f aca="false">TEXT(B278,"yyyy-mm")</f>
        <v>2024-09</v>
      </c>
    </row>
    <row r="279" customFormat="false" ht="15" hidden="false" customHeight="false" outlineLevel="0" collapsed="false">
      <c r="A279" s="7" t="s">
        <v>754</v>
      </c>
      <c r="B279" s="7" t="s">
        <v>755</v>
      </c>
      <c r="C279" s="7" t="s">
        <v>335</v>
      </c>
      <c r="D279" s="7" t="s">
        <v>201</v>
      </c>
      <c r="E279" s="7" t="s">
        <v>202</v>
      </c>
      <c r="F279" s="7" t="s">
        <v>72</v>
      </c>
      <c r="G279" s="7" t="s">
        <v>73</v>
      </c>
      <c r="H279" s="7" t="s">
        <v>74</v>
      </c>
      <c r="I279" s="7" t="s">
        <v>51</v>
      </c>
      <c r="J279" s="7" t="n">
        <v>3</v>
      </c>
      <c r="K279" s="8" t="n">
        <v>3990</v>
      </c>
      <c r="L279" s="9" t="n">
        <v>0.05</v>
      </c>
      <c r="M279" s="8" t="n">
        <v>9100.83</v>
      </c>
      <c r="N279" s="8" t="n">
        <f aca="false">J279*K279*(1-L279)</f>
        <v>11371.5</v>
      </c>
      <c r="O279" s="8" t="n">
        <f aca="false">N279-M279</f>
        <v>2270.67</v>
      </c>
      <c r="P279" s="10" t="n">
        <f aca="false">IFERROR(O279/N279,0)</f>
        <v>0.199680780899617</v>
      </c>
      <c r="Q279" s="7" t="str">
        <f aca="false">TEXT(B279,"mmm")</f>
        <v>Aug</v>
      </c>
      <c r="R279" s="7" t="str">
        <f aca="false">TEXT(B279,"yyyy-mm")</f>
        <v>2024-08</v>
      </c>
    </row>
    <row r="280" customFormat="false" ht="15" hidden="false" customHeight="false" outlineLevel="0" collapsed="false">
      <c r="A280" s="7" t="s">
        <v>756</v>
      </c>
      <c r="B280" s="7" t="s">
        <v>242</v>
      </c>
      <c r="C280" s="7" t="s">
        <v>732</v>
      </c>
      <c r="D280" s="7" t="s">
        <v>70</v>
      </c>
      <c r="E280" s="7" t="s">
        <v>71</v>
      </c>
      <c r="F280" s="7" t="s">
        <v>72</v>
      </c>
      <c r="G280" s="7" t="s">
        <v>73</v>
      </c>
      <c r="H280" s="7" t="s">
        <v>115</v>
      </c>
      <c r="I280" s="7" t="s">
        <v>51</v>
      </c>
      <c r="J280" s="7" t="n">
        <v>6</v>
      </c>
      <c r="K280" s="8" t="n">
        <v>3059</v>
      </c>
      <c r="L280" s="9" t="n">
        <v>0</v>
      </c>
      <c r="M280" s="8" t="n">
        <v>9638.76</v>
      </c>
      <c r="N280" s="8" t="n">
        <f aca="false">J280*K280*(1-L280)</f>
        <v>18354</v>
      </c>
      <c r="O280" s="8" t="n">
        <f aca="false">N280-M280</f>
        <v>8715.24</v>
      </c>
      <c r="P280" s="10" t="n">
        <f aca="false">IFERROR(O280/N280,0)</f>
        <v>0.474841451454724</v>
      </c>
      <c r="Q280" s="7" t="str">
        <f aca="false">TEXT(B280,"mmm")</f>
        <v>Mar</v>
      </c>
      <c r="R280" s="7" t="str">
        <f aca="false">TEXT(B280,"yyyy-mm")</f>
        <v>2024-03</v>
      </c>
    </row>
    <row r="281" customFormat="false" ht="15" hidden="false" customHeight="false" outlineLevel="0" collapsed="false">
      <c r="A281" s="7" t="s">
        <v>757</v>
      </c>
      <c r="B281" s="7" t="s">
        <v>758</v>
      </c>
      <c r="C281" s="7" t="s">
        <v>759</v>
      </c>
      <c r="D281" s="7" t="s">
        <v>140</v>
      </c>
      <c r="E281" s="7" t="s">
        <v>141</v>
      </c>
      <c r="F281" s="7" t="s">
        <v>57</v>
      </c>
      <c r="G281" s="7" t="s">
        <v>73</v>
      </c>
      <c r="H281" s="7" t="s">
        <v>115</v>
      </c>
      <c r="I281" s="7" t="s">
        <v>51</v>
      </c>
      <c r="J281" s="7" t="n">
        <v>6</v>
      </c>
      <c r="K281" s="8" t="n">
        <v>1440</v>
      </c>
      <c r="L281" s="9" t="n">
        <v>0.25</v>
      </c>
      <c r="M281" s="8" t="n">
        <v>5822.34</v>
      </c>
      <c r="N281" s="8" t="n">
        <f aca="false">J281*K281*(1-L281)</f>
        <v>6480</v>
      </c>
      <c r="O281" s="8" t="n">
        <f aca="false">N281-M281</f>
        <v>657.66</v>
      </c>
      <c r="P281" s="10" t="n">
        <f aca="false">IFERROR(O281/N281,0)</f>
        <v>0.101490740740741</v>
      </c>
      <c r="Q281" s="7" t="str">
        <f aca="false">TEXT(B281,"mmm")</f>
        <v>Dec</v>
      </c>
      <c r="R281" s="7" t="str">
        <f aca="false">TEXT(B281,"yyyy-mm")</f>
        <v>2024-12</v>
      </c>
    </row>
    <row r="282" customFormat="false" ht="15" hidden="false" customHeight="false" outlineLevel="0" collapsed="false">
      <c r="A282" s="7" t="s">
        <v>760</v>
      </c>
      <c r="B282" s="7" t="s">
        <v>761</v>
      </c>
      <c r="C282" s="7" t="s">
        <v>416</v>
      </c>
      <c r="D282" s="7" t="s">
        <v>459</v>
      </c>
      <c r="E282" s="7" t="s">
        <v>460</v>
      </c>
      <c r="F282" s="7" t="s">
        <v>64</v>
      </c>
      <c r="G282" s="7" t="s">
        <v>73</v>
      </c>
      <c r="H282" s="7" t="s">
        <v>74</v>
      </c>
      <c r="I282" s="7" t="s">
        <v>51</v>
      </c>
      <c r="J282" s="7" t="n">
        <v>1</v>
      </c>
      <c r="K282" s="8" t="n">
        <v>1520</v>
      </c>
      <c r="L282" s="9" t="n">
        <v>0</v>
      </c>
      <c r="M282" s="8" t="n">
        <v>885.71</v>
      </c>
      <c r="N282" s="8" t="n">
        <f aca="false">J282*K282*(1-L282)</f>
        <v>1520</v>
      </c>
      <c r="O282" s="8" t="n">
        <f aca="false">N282-M282</f>
        <v>634.29</v>
      </c>
      <c r="P282" s="10" t="n">
        <f aca="false">IFERROR(O282/N282,0)</f>
        <v>0.417296052631579</v>
      </c>
      <c r="Q282" s="7" t="str">
        <f aca="false">TEXT(B282,"mmm")</f>
        <v>Aug</v>
      </c>
      <c r="R282" s="7" t="str">
        <f aca="false">TEXT(B282,"yyyy-mm")</f>
        <v>2024-08</v>
      </c>
    </row>
    <row r="283" customFormat="false" ht="15" hidden="false" customHeight="false" outlineLevel="0" collapsed="false">
      <c r="A283" s="7" t="s">
        <v>762</v>
      </c>
      <c r="B283" s="7" t="s">
        <v>630</v>
      </c>
      <c r="C283" s="7" t="s">
        <v>422</v>
      </c>
      <c r="D283" s="7" t="s">
        <v>249</v>
      </c>
      <c r="E283" s="7" t="s">
        <v>250</v>
      </c>
      <c r="F283" s="7" t="s">
        <v>57</v>
      </c>
      <c r="G283" s="7" t="s">
        <v>81</v>
      </c>
      <c r="H283" s="7" t="s">
        <v>82</v>
      </c>
      <c r="I283" s="7" t="s">
        <v>51</v>
      </c>
      <c r="J283" s="7" t="n">
        <v>3</v>
      </c>
      <c r="K283" s="8" t="n">
        <v>1730</v>
      </c>
      <c r="L283" s="9" t="n">
        <v>0.05</v>
      </c>
      <c r="M283" s="8" t="n">
        <v>2647.32</v>
      </c>
      <c r="N283" s="8" t="n">
        <f aca="false">J283*K283*(1-L283)</f>
        <v>4930.5</v>
      </c>
      <c r="O283" s="8" t="n">
        <f aca="false">N283-M283</f>
        <v>2283.18</v>
      </c>
      <c r="P283" s="10" t="n">
        <f aca="false">IFERROR(O283/N283,0)</f>
        <v>0.46307271067843</v>
      </c>
      <c r="Q283" s="7" t="str">
        <f aca="false">TEXT(B283,"mmm")</f>
        <v>Sep</v>
      </c>
      <c r="R283" s="7" t="str">
        <f aca="false">TEXT(B283,"yyyy-mm")</f>
        <v>2024-09</v>
      </c>
    </row>
    <row r="284" customFormat="false" ht="15" hidden="false" customHeight="false" outlineLevel="0" collapsed="false">
      <c r="A284" s="7" t="s">
        <v>763</v>
      </c>
      <c r="B284" s="7" t="s">
        <v>380</v>
      </c>
      <c r="C284" s="7" t="s">
        <v>378</v>
      </c>
      <c r="D284" s="7" t="s">
        <v>86</v>
      </c>
      <c r="E284" s="7" t="s">
        <v>87</v>
      </c>
      <c r="F284" s="7" t="s">
        <v>88</v>
      </c>
      <c r="G284" s="7" t="s">
        <v>81</v>
      </c>
      <c r="H284" s="7" t="s">
        <v>237</v>
      </c>
      <c r="I284" s="7" t="s">
        <v>51</v>
      </c>
      <c r="J284" s="7" t="n">
        <v>3</v>
      </c>
      <c r="K284" s="8" t="n">
        <v>3719</v>
      </c>
      <c r="L284" s="9" t="n">
        <v>0</v>
      </c>
      <c r="M284" s="8" t="n">
        <v>4426.11</v>
      </c>
      <c r="N284" s="8" t="n">
        <f aca="false">J284*K284*(1-L284)</f>
        <v>11157</v>
      </c>
      <c r="O284" s="8" t="n">
        <f aca="false">N284-M284</f>
        <v>6730.89</v>
      </c>
      <c r="P284" s="10" t="n">
        <f aca="false">IFERROR(O284/N284,0)</f>
        <v>0.60328851841893</v>
      </c>
      <c r="Q284" s="7" t="str">
        <f aca="false">TEXT(B284,"mmm")</f>
        <v>Feb</v>
      </c>
      <c r="R284" s="7" t="str">
        <f aca="false">TEXT(B284,"yyyy-mm")</f>
        <v>2024-02</v>
      </c>
    </row>
    <row r="285" customFormat="false" ht="15" hidden="false" customHeight="false" outlineLevel="0" collapsed="false">
      <c r="A285" s="7" t="s">
        <v>764</v>
      </c>
      <c r="B285" s="7" t="s">
        <v>458</v>
      </c>
      <c r="C285" s="7" t="s">
        <v>575</v>
      </c>
      <c r="D285" s="7" t="s">
        <v>360</v>
      </c>
      <c r="E285" s="7" t="s">
        <v>361</v>
      </c>
      <c r="F285" s="7" t="s">
        <v>48</v>
      </c>
      <c r="G285" s="7" t="s">
        <v>73</v>
      </c>
      <c r="H285" s="7" t="s">
        <v>211</v>
      </c>
      <c r="I285" s="7" t="s">
        <v>51</v>
      </c>
      <c r="J285" s="7" t="n">
        <v>3</v>
      </c>
      <c r="K285" s="8" t="n">
        <v>679</v>
      </c>
      <c r="L285" s="9" t="n">
        <v>0.15</v>
      </c>
      <c r="M285" s="8" t="n">
        <v>1382.1</v>
      </c>
      <c r="N285" s="8" t="n">
        <f aca="false">J285*K285*(1-L285)</f>
        <v>1731.45</v>
      </c>
      <c r="O285" s="8" t="n">
        <f aca="false">N285-M285</f>
        <v>349.35</v>
      </c>
      <c r="P285" s="10" t="n">
        <f aca="false">IFERROR(O285/N285,0)</f>
        <v>0.201767304860088</v>
      </c>
      <c r="Q285" s="7" t="str">
        <f aca="false">TEXT(B285,"mmm")</f>
        <v>Jun</v>
      </c>
      <c r="R285" s="7" t="str">
        <f aca="false">TEXT(B285,"yyyy-mm")</f>
        <v>2024-06</v>
      </c>
    </row>
    <row r="286" customFormat="false" ht="15" hidden="false" customHeight="false" outlineLevel="0" collapsed="false">
      <c r="A286" s="7" t="s">
        <v>765</v>
      </c>
      <c r="B286" s="7" t="s">
        <v>766</v>
      </c>
      <c r="C286" s="7" t="s">
        <v>767</v>
      </c>
      <c r="D286" s="7" t="s">
        <v>181</v>
      </c>
      <c r="E286" s="7" t="s">
        <v>182</v>
      </c>
      <c r="F286" s="7" t="s">
        <v>88</v>
      </c>
      <c r="G286" s="7" t="s">
        <v>65</v>
      </c>
      <c r="H286" s="7" t="s">
        <v>106</v>
      </c>
      <c r="I286" s="7" t="s">
        <v>75</v>
      </c>
      <c r="J286" s="7" t="n">
        <v>2</v>
      </c>
      <c r="K286" s="8" t="n">
        <v>4489</v>
      </c>
      <c r="L286" s="9" t="n">
        <v>0.15</v>
      </c>
      <c r="M286" s="8" t="n">
        <v>3911.14</v>
      </c>
      <c r="N286" s="8" t="n">
        <f aca="false">J286*K286*(1-L286)</f>
        <v>7631.3</v>
      </c>
      <c r="O286" s="8" t="n">
        <f aca="false">N286-M286</f>
        <v>3720.16</v>
      </c>
      <c r="P286" s="10" t="n">
        <f aca="false">IFERROR(O286/N286,0)</f>
        <v>0.487487059871844</v>
      </c>
      <c r="Q286" s="7" t="str">
        <f aca="false">TEXT(B286,"mmm")</f>
        <v>Jul</v>
      </c>
      <c r="R286" s="7" t="str">
        <f aca="false">TEXT(B286,"yyyy-mm")</f>
        <v>2024-07</v>
      </c>
    </row>
    <row r="287" customFormat="false" ht="15" hidden="false" customHeight="false" outlineLevel="0" collapsed="false">
      <c r="A287" s="7" t="s">
        <v>768</v>
      </c>
      <c r="B287" s="7" t="s">
        <v>456</v>
      </c>
      <c r="C287" s="7" t="s">
        <v>529</v>
      </c>
      <c r="D287" s="7" t="s">
        <v>244</v>
      </c>
      <c r="E287" s="7" t="s">
        <v>245</v>
      </c>
      <c r="F287" s="7" t="s">
        <v>88</v>
      </c>
      <c r="G287" s="7" t="s">
        <v>49</v>
      </c>
      <c r="H287" s="7" t="s">
        <v>50</v>
      </c>
      <c r="I287" s="7" t="s">
        <v>51</v>
      </c>
      <c r="J287" s="7" t="n">
        <v>3</v>
      </c>
      <c r="K287" s="8" t="n">
        <v>5319</v>
      </c>
      <c r="L287" s="9" t="n">
        <v>0</v>
      </c>
      <c r="M287" s="8" t="n">
        <v>9257.49</v>
      </c>
      <c r="N287" s="8" t="n">
        <f aca="false">J287*K287*(1-L287)</f>
        <v>15957</v>
      </c>
      <c r="O287" s="8" t="n">
        <f aca="false">N287-M287</f>
        <v>6699.51</v>
      </c>
      <c r="P287" s="10" t="n">
        <f aca="false">IFERROR(O287/N287,0)</f>
        <v>0.419847715736041</v>
      </c>
      <c r="Q287" s="7" t="str">
        <f aca="false">TEXT(B287,"mmm")</f>
        <v>Mar</v>
      </c>
      <c r="R287" s="7" t="str">
        <f aca="false">TEXT(B287,"yyyy-mm")</f>
        <v>2024-03</v>
      </c>
    </row>
    <row r="288" customFormat="false" ht="15" hidden="false" customHeight="false" outlineLevel="0" collapsed="false">
      <c r="A288" s="7" t="s">
        <v>769</v>
      </c>
      <c r="B288" s="7" t="s">
        <v>770</v>
      </c>
      <c r="C288" s="7" t="s">
        <v>265</v>
      </c>
      <c r="D288" s="7" t="s">
        <v>295</v>
      </c>
      <c r="E288" s="7" t="s">
        <v>296</v>
      </c>
      <c r="F288" s="7" t="s">
        <v>64</v>
      </c>
      <c r="G288" s="7" t="s">
        <v>49</v>
      </c>
      <c r="H288" s="7" t="s">
        <v>58</v>
      </c>
      <c r="I288" s="7" t="s">
        <v>75</v>
      </c>
      <c r="J288" s="7" t="n">
        <v>6</v>
      </c>
      <c r="K288" s="8" t="n">
        <v>1249</v>
      </c>
      <c r="L288" s="9" t="n">
        <v>0.1</v>
      </c>
      <c r="M288" s="8" t="n">
        <v>5503.86</v>
      </c>
      <c r="N288" s="8" t="n">
        <f aca="false">J288*K288*(1-L288)</f>
        <v>6744.6</v>
      </c>
      <c r="O288" s="8" t="n">
        <f aca="false">N288-M288</f>
        <v>1240.74</v>
      </c>
      <c r="P288" s="10" t="n">
        <f aca="false">IFERROR(O288/N288,0)</f>
        <v>0.183960501734721</v>
      </c>
      <c r="Q288" s="7" t="str">
        <f aca="false">TEXT(B288,"mmm")</f>
        <v>May</v>
      </c>
      <c r="R288" s="7" t="str">
        <f aca="false">TEXT(B288,"yyyy-mm")</f>
        <v>2024-05</v>
      </c>
    </row>
    <row r="289" customFormat="false" ht="15" hidden="false" customHeight="false" outlineLevel="0" collapsed="false">
      <c r="A289" s="7" t="s">
        <v>771</v>
      </c>
      <c r="B289" s="7" t="s">
        <v>772</v>
      </c>
      <c r="C289" s="7" t="s">
        <v>773</v>
      </c>
      <c r="D289" s="7" t="s">
        <v>149</v>
      </c>
      <c r="E289" s="7" t="s">
        <v>150</v>
      </c>
      <c r="F289" s="7" t="s">
        <v>88</v>
      </c>
      <c r="G289" s="7" t="s">
        <v>81</v>
      </c>
      <c r="H289" s="7" t="s">
        <v>82</v>
      </c>
      <c r="I289" s="7" t="s">
        <v>75</v>
      </c>
      <c r="J289" s="7" t="n">
        <v>10</v>
      </c>
      <c r="K289" s="8" t="n">
        <v>5219</v>
      </c>
      <c r="L289" s="9" t="n">
        <v>0.1</v>
      </c>
      <c r="M289" s="8" t="n">
        <v>34910.4</v>
      </c>
      <c r="N289" s="8" t="n">
        <f aca="false">J289*K289*(1-L289)</f>
        <v>46971</v>
      </c>
      <c r="O289" s="8" t="n">
        <f aca="false">N289-M289</f>
        <v>12060.6</v>
      </c>
      <c r="P289" s="10" t="n">
        <f aca="false">IFERROR(O289/N289,0)</f>
        <v>0.256766941304209</v>
      </c>
      <c r="Q289" s="7" t="str">
        <f aca="false">TEXT(B289,"mmm")</f>
        <v>Oct</v>
      </c>
      <c r="R289" s="7" t="str">
        <f aca="false">TEXT(B289,"yyyy-mm")</f>
        <v>2024-10</v>
      </c>
    </row>
    <row r="290" customFormat="false" ht="15" hidden="false" customHeight="false" outlineLevel="0" collapsed="false">
      <c r="A290" s="7" t="s">
        <v>774</v>
      </c>
      <c r="B290" s="7" t="s">
        <v>574</v>
      </c>
      <c r="C290" s="7" t="s">
        <v>299</v>
      </c>
      <c r="D290" s="7" t="s">
        <v>227</v>
      </c>
      <c r="E290" s="7" t="s">
        <v>228</v>
      </c>
      <c r="F290" s="7" t="s">
        <v>64</v>
      </c>
      <c r="G290" s="7" t="s">
        <v>73</v>
      </c>
      <c r="H290" s="7" t="s">
        <v>266</v>
      </c>
      <c r="I290" s="7" t="s">
        <v>51</v>
      </c>
      <c r="J290" s="7" t="n">
        <v>4</v>
      </c>
      <c r="K290" s="8" t="n">
        <v>5529</v>
      </c>
      <c r="L290" s="9" t="n">
        <v>0</v>
      </c>
      <c r="M290" s="8" t="n">
        <v>12210.88</v>
      </c>
      <c r="N290" s="8" t="n">
        <f aca="false">J290*K290*(1-L290)</f>
        <v>22116</v>
      </c>
      <c r="O290" s="8" t="n">
        <f aca="false">N290-M290</f>
        <v>9905.12</v>
      </c>
      <c r="P290" s="10" t="n">
        <f aca="false">IFERROR(O290/N290,0)</f>
        <v>0.447871224452885</v>
      </c>
      <c r="Q290" s="7" t="str">
        <f aca="false">TEXT(B290,"mmm")</f>
        <v>May</v>
      </c>
      <c r="R290" s="7" t="str">
        <f aca="false">TEXT(B290,"yyyy-mm")</f>
        <v>2024-05</v>
      </c>
    </row>
    <row r="291" customFormat="false" ht="15" hidden="false" customHeight="false" outlineLevel="0" collapsed="false">
      <c r="A291" s="7" t="s">
        <v>775</v>
      </c>
      <c r="B291" s="7" t="s">
        <v>776</v>
      </c>
      <c r="C291" s="7" t="s">
        <v>583</v>
      </c>
      <c r="D291" s="7" t="s">
        <v>79</v>
      </c>
      <c r="E291" s="7" t="s">
        <v>80</v>
      </c>
      <c r="F291" s="7" t="s">
        <v>72</v>
      </c>
      <c r="G291" s="7" t="s">
        <v>73</v>
      </c>
      <c r="H291" s="7" t="s">
        <v>211</v>
      </c>
      <c r="I291" s="7" t="s">
        <v>75</v>
      </c>
      <c r="J291" s="7" t="n">
        <v>6</v>
      </c>
      <c r="K291" s="8" t="n">
        <v>4769</v>
      </c>
      <c r="L291" s="9" t="n">
        <v>0.25</v>
      </c>
      <c r="M291" s="8" t="n">
        <v>16348.86</v>
      </c>
      <c r="N291" s="8" t="n">
        <f aca="false">J291*K291*(1-L291)</f>
        <v>21460.5</v>
      </c>
      <c r="O291" s="8" t="n">
        <f aca="false">N291-M291</f>
        <v>5111.64</v>
      </c>
      <c r="P291" s="10" t="n">
        <f aca="false">IFERROR(O291/N291,0)</f>
        <v>0.238188299433844</v>
      </c>
      <c r="Q291" s="7" t="str">
        <f aca="false">TEXT(B291,"mmm")</f>
        <v>Jan</v>
      </c>
      <c r="R291" s="7" t="str">
        <f aca="false">TEXT(B291,"yyyy-mm")</f>
        <v>2024-01</v>
      </c>
    </row>
    <row r="292" customFormat="false" ht="15" hidden="false" customHeight="false" outlineLevel="0" collapsed="false">
      <c r="A292" s="7" t="s">
        <v>777</v>
      </c>
      <c r="B292" s="7" t="s">
        <v>53</v>
      </c>
      <c r="C292" s="7" t="s">
        <v>378</v>
      </c>
      <c r="D292" s="7" t="s">
        <v>244</v>
      </c>
      <c r="E292" s="7" t="s">
        <v>245</v>
      </c>
      <c r="F292" s="7" t="s">
        <v>88</v>
      </c>
      <c r="G292" s="7" t="s">
        <v>65</v>
      </c>
      <c r="H292" s="7" t="s">
        <v>66</v>
      </c>
      <c r="I292" s="7" t="s">
        <v>75</v>
      </c>
      <c r="J292" s="7" t="n">
        <v>4</v>
      </c>
      <c r="K292" s="8" t="n">
        <v>5319</v>
      </c>
      <c r="L292" s="9" t="n">
        <v>0.15</v>
      </c>
      <c r="M292" s="8" t="n">
        <v>12343.32</v>
      </c>
      <c r="N292" s="8" t="n">
        <f aca="false">J292*K292*(1-L292)</f>
        <v>18084.6</v>
      </c>
      <c r="O292" s="8" t="n">
        <f aca="false">N292-M292</f>
        <v>5741.28</v>
      </c>
      <c r="P292" s="10" t="n">
        <f aca="false">IFERROR(O292/N292,0)</f>
        <v>0.31746790086593</v>
      </c>
      <c r="Q292" s="7" t="str">
        <f aca="false">TEXT(B292,"mmm")</f>
        <v>Dec</v>
      </c>
      <c r="R292" s="7" t="str">
        <f aca="false">TEXT(B292,"yyyy-mm")</f>
        <v>2024-12</v>
      </c>
    </row>
    <row r="293" customFormat="false" ht="15" hidden="false" customHeight="false" outlineLevel="0" collapsed="false">
      <c r="A293" s="7" t="s">
        <v>778</v>
      </c>
      <c r="B293" s="7" t="s">
        <v>779</v>
      </c>
      <c r="C293" s="7" t="s">
        <v>335</v>
      </c>
      <c r="D293" s="7" t="s">
        <v>162</v>
      </c>
      <c r="E293" s="7" t="s">
        <v>163</v>
      </c>
      <c r="F293" s="7" t="s">
        <v>57</v>
      </c>
      <c r="G293" s="7" t="s">
        <v>73</v>
      </c>
      <c r="H293" s="7" t="s">
        <v>266</v>
      </c>
      <c r="I293" s="7" t="s">
        <v>51</v>
      </c>
      <c r="J293" s="7" t="n">
        <v>3</v>
      </c>
      <c r="K293" s="8" t="n">
        <v>4629</v>
      </c>
      <c r="L293" s="9" t="n">
        <v>0</v>
      </c>
      <c r="M293" s="8" t="n">
        <v>6090.51</v>
      </c>
      <c r="N293" s="8" t="n">
        <f aca="false">J293*K293*(1-L293)</f>
        <v>13887</v>
      </c>
      <c r="O293" s="8" t="n">
        <f aca="false">N293-M293</f>
        <v>7796.49</v>
      </c>
      <c r="P293" s="10" t="n">
        <f aca="false">IFERROR(O293/N293,0)</f>
        <v>0.561423633614172</v>
      </c>
      <c r="Q293" s="7" t="str">
        <f aca="false">TEXT(B293,"mmm")</f>
        <v>Oct</v>
      </c>
      <c r="R293" s="7" t="str">
        <f aca="false">TEXT(B293,"yyyy-mm")</f>
        <v>2024-10</v>
      </c>
    </row>
    <row r="294" customFormat="false" ht="15" hidden="false" customHeight="false" outlineLevel="0" collapsed="false">
      <c r="A294" s="7" t="s">
        <v>780</v>
      </c>
      <c r="B294" s="7" t="s">
        <v>781</v>
      </c>
      <c r="C294" s="7" t="s">
        <v>45</v>
      </c>
      <c r="D294" s="7" t="s">
        <v>46</v>
      </c>
      <c r="E294" s="7" t="s">
        <v>47</v>
      </c>
      <c r="F294" s="7" t="s">
        <v>48</v>
      </c>
      <c r="G294" s="7" t="s">
        <v>49</v>
      </c>
      <c r="H294" s="7" t="s">
        <v>100</v>
      </c>
      <c r="I294" s="7" t="s">
        <v>51</v>
      </c>
      <c r="J294" s="7" t="n">
        <v>3</v>
      </c>
      <c r="K294" s="8" t="n">
        <v>4349</v>
      </c>
      <c r="L294" s="9" t="n">
        <v>0.2</v>
      </c>
      <c r="M294" s="8" t="n">
        <v>7466.31</v>
      </c>
      <c r="N294" s="8" t="n">
        <f aca="false">J294*K294*(1-L294)</f>
        <v>10437.6</v>
      </c>
      <c r="O294" s="8" t="n">
        <f aca="false">N294-M294</f>
        <v>2971.29</v>
      </c>
      <c r="P294" s="10" t="n">
        <f aca="false">IFERROR(O294/N294,0)</f>
        <v>0.284671763623822</v>
      </c>
      <c r="Q294" s="7" t="str">
        <f aca="false">TEXT(B294,"mmm")</f>
        <v>Jan</v>
      </c>
      <c r="R294" s="7" t="str">
        <f aca="false">TEXT(B294,"yyyy-mm")</f>
        <v>2024-01</v>
      </c>
    </row>
    <row r="295" customFormat="false" ht="15" hidden="false" customHeight="false" outlineLevel="0" collapsed="false">
      <c r="A295" s="7" t="s">
        <v>782</v>
      </c>
      <c r="B295" s="7" t="s">
        <v>783</v>
      </c>
      <c r="C295" s="7" t="s">
        <v>196</v>
      </c>
      <c r="D295" s="7" t="s">
        <v>119</v>
      </c>
      <c r="E295" s="7" t="s">
        <v>120</v>
      </c>
      <c r="F295" s="7" t="s">
        <v>88</v>
      </c>
      <c r="G295" s="7" t="s">
        <v>49</v>
      </c>
      <c r="H295" s="7" t="s">
        <v>172</v>
      </c>
      <c r="I295" s="7" t="s">
        <v>75</v>
      </c>
      <c r="J295" s="7" t="n">
        <v>7</v>
      </c>
      <c r="K295" s="8" t="n">
        <v>620</v>
      </c>
      <c r="L295" s="9" t="n">
        <v>0.15</v>
      </c>
      <c r="M295" s="8" t="n">
        <v>3181.85</v>
      </c>
      <c r="N295" s="8" t="n">
        <f aca="false">J295*K295*(1-L295)</f>
        <v>3689</v>
      </c>
      <c r="O295" s="8" t="n">
        <f aca="false">N295-M295</f>
        <v>507.15</v>
      </c>
      <c r="P295" s="10" t="n">
        <f aca="false">IFERROR(O295/N295,0)</f>
        <v>0.137476280834915</v>
      </c>
      <c r="Q295" s="7" t="str">
        <f aca="false">TEXT(B295,"mmm")</f>
        <v>Jan</v>
      </c>
      <c r="R295" s="7" t="str">
        <f aca="false">TEXT(B295,"yyyy-mm")</f>
        <v>2024-01</v>
      </c>
    </row>
    <row r="296" customFormat="false" ht="15" hidden="false" customHeight="false" outlineLevel="0" collapsed="false">
      <c r="A296" s="7" t="s">
        <v>784</v>
      </c>
      <c r="B296" s="7" t="s">
        <v>785</v>
      </c>
      <c r="C296" s="7" t="s">
        <v>166</v>
      </c>
      <c r="D296" s="7" t="s">
        <v>149</v>
      </c>
      <c r="E296" s="7" t="s">
        <v>150</v>
      </c>
      <c r="F296" s="7" t="s">
        <v>88</v>
      </c>
      <c r="G296" s="7" t="s">
        <v>81</v>
      </c>
      <c r="H296" s="7" t="s">
        <v>186</v>
      </c>
      <c r="I296" s="7" t="s">
        <v>75</v>
      </c>
      <c r="J296" s="7" t="n">
        <v>5</v>
      </c>
      <c r="K296" s="8" t="n">
        <v>5219</v>
      </c>
      <c r="L296" s="9" t="n">
        <v>0</v>
      </c>
      <c r="M296" s="8" t="n">
        <v>17455.2</v>
      </c>
      <c r="N296" s="8" t="n">
        <f aca="false">J296*K296*(1-L296)</f>
        <v>26095</v>
      </c>
      <c r="O296" s="8" t="n">
        <f aca="false">N296-M296</f>
        <v>8639.8</v>
      </c>
      <c r="P296" s="10" t="n">
        <f aca="false">IFERROR(O296/N296,0)</f>
        <v>0.331090247173788</v>
      </c>
      <c r="Q296" s="7" t="str">
        <f aca="false">TEXT(B296,"mmm")</f>
        <v>Sep</v>
      </c>
      <c r="R296" s="7" t="str">
        <f aca="false">TEXT(B296,"yyyy-mm")</f>
        <v>2024-09</v>
      </c>
    </row>
    <row r="297" customFormat="false" ht="15" hidden="false" customHeight="false" outlineLevel="0" collapsed="false">
      <c r="A297" s="7" t="s">
        <v>786</v>
      </c>
      <c r="B297" s="7" t="s">
        <v>718</v>
      </c>
      <c r="C297" s="7" t="s">
        <v>744</v>
      </c>
      <c r="D297" s="7" t="s">
        <v>130</v>
      </c>
      <c r="E297" s="7" t="s">
        <v>131</v>
      </c>
      <c r="F297" s="7" t="s">
        <v>72</v>
      </c>
      <c r="G297" s="7" t="s">
        <v>49</v>
      </c>
      <c r="H297" s="7" t="s">
        <v>50</v>
      </c>
      <c r="I297" s="7" t="s">
        <v>51</v>
      </c>
      <c r="J297" s="7" t="n">
        <v>6</v>
      </c>
      <c r="K297" s="8" t="n">
        <v>7899</v>
      </c>
      <c r="L297" s="9" t="n">
        <v>0</v>
      </c>
      <c r="M297" s="8" t="n">
        <v>20434.98</v>
      </c>
      <c r="N297" s="8" t="n">
        <f aca="false">J297*K297*(1-L297)</f>
        <v>47394</v>
      </c>
      <c r="O297" s="8" t="n">
        <f aca="false">N297-M297</f>
        <v>26959.02</v>
      </c>
      <c r="P297" s="10" t="n">
        <f aca="false">IFERROR(O297/N297,0)</f>
        <v>0.568827699708824</v>
      </c>
      <c r="Q297" s="7" t="str">
        <f aca="false">TEXT(B297,"mmm")</f>
        <v>Oct</v>
      </c>
      <c r="R297" s="7" t="str">
        <f aca="false">TEXT(B297,"yyyy-mm")</f>
        <v>2024-10</v>
      </c>
    </row>
    <row r="298" customFormat="false" ht="15" hidden="false" customHeight="false" outlineLevel="0" collapsed="false">
      <c r="A298" s="7" t="s">
        <v>787</v>
      </c>
      <c r="B298" s="7" t="s">
        <v>691</v>
      </c>
      <c r="C298" s="7" t="s">
        <v>603</v>
      </c>
      <c r="D298" s="7" t="s">
        <v>249</v>
      </c>
      <c r="E298" s="7" t="s">
        <v>250</v>
      </c>
      <c r="F298" s="7" t="s">
        <v>57</v>
      </c>
      <c r="G298" s="7" t="s">
        <v>73</v>
      </c>
      <c r="H298" s="7" t="s">
        <v>266</v>
      </c>
      <c r="I298" s="7" t="s">
        <v>51</v>
      </c>
      <c r="J298" s="7" t="n">
        <v>5</v>
      </c>
      <c r="K298" s="8" t="n">
        <v>1730</v>
      </c>
      <c r="L298" s="9" t="n">
        <v>0.05</v>
      </c>
      <c r="M298" s="8" t="n">
        <v>4412.2</v>
      </c>
      <c r="N298" s="8" t="n">
        <f aca="false">J298*K298*(1-L298)</f>
        <v>8217.5</v>
      </c>
      <c r="O298" s="8" t="n">
        <f aca="false">N298-M298</f>
        <v>3805.3</v>
      </c>
      <c r="P298" s="10" t="n">
        <f aca="false">IFERROR(O298/N298,0)</f>
        <v>0.46307271067843</v>
      </c>
      <c r="Q298" s="7" t="str">
        <f aca="false">TEXT(B298,"mmm")</f>
        <v>Jun</v>
      </c>
      <c r="R298" s="7" t="str">
        <f aca="false">TEXT(B298,"yyyy-mm")</f>
        <v>2024-06</v>
      </c>
    </row>
    <row r="299" customFormat="false" ht="15" hidden="false" customHeight="false" outlineLevel="0" collapsed="false">
      <c r="A299" s="7" t="s">
        <v>788</v>
      </c>
      <c r="B299" s="7" t="s">
        <v>789</v>
      </c>
      <c r="C299" s="7" t="s">
        <v>790</v>
      </c>
      <c r="D299" s="7" t="s">
        <v>244</v>
      </c>
      <c r="E299" s="7" t="s">
        <v>245</v>
      </c>
      <c r="F299" s="7" t="s">
        <v>88</v>
      </c>
      <c r="G299" s="7" t="s">
        <v>65</v>
      </c>
      <c r="H299" s="7" t="s">
        <v>66</v>
      </c>
      <c r="I299" s="7" t="s">
        <v>75</v>
      </c>
      <c r="J299" s="7" t="n">
        <v>10</v>
      </c>
      <c r="K299" s="8" t="n">
        <v>5319</v>
      </c>
      <c r="L299" s="9" t="n">
        <v>0.25</v>
      </c>
      <c r="M299" s="8" t="n">
        <v>30858.3</v>
      </c>
      <c r="N299" s="8" t="n">
        <f aca="false">J299*K299*(1-L299)</f>
        <v>39892.5</v>
      </c>
      <c r="O299" s="8" t="n">
        <f aca="false">N299-M299</f>
        <v>9034.2</v>
      </c>
      <c r="P299" s="10" t="n">
        <f aca="false">IFERROR(O299/N299,0)</f>
        <v>0.226463620981388</v>
      </c>
      <c r="Q299" s="7" t="str">
        <f aca="false">TEXT(B299,"mmm")</f>
        <v>Oct</v>
      </c>
      <c r="R299" s="7" t="str">
        <f aca="false">TEXT(B299,"yyyy-mm")</f>
        <v>2024-10</v>
      </c>
    </row>
    <row r="300" customFormat="false" ht="15" hidden="false" customHeight="false" outlineLevel="0" collapsed="false">
      <c r="A300" s="7" t="s">
        <v>791</v>
      </c>
      <c r="B300" s="7" t="s">
        <v>312</v>
      </c>
      <c r="C300" s="7" t="s">
        <v>108</v>
      </c>
      <c r="D300" s="7" t="s">
        <v>181</v>
      </c>
      <c r="E300" s="7" t="s">
        <v>182</v>
      </c>
      <c r="F300" s="7" t="s">
        <v>88</v>
      </c>
      <c r="G300" s="7" t="s">
        <v>73</v>
      </c>
      <c r="H300" s="7" t="s">
        <v>266</v>
      </c>
      <c r="I300" s="7" t="s">
        <v>51</v>
      </c>
      <c r="J300" s="7" t="n">
        <v>3</v>
      </c>
      <c r="K300" s="8" t="n">
        <v>4489</v>
      </c>
      <c r="L300" s="9" t="n">
        <v>0.2</v>
      </c>
      <c r="M300" s="8" t="n">
        <v>5866.71</v>
      </c>
      <c r="N300" s="8" t="n">
        <f aca="false">J300*K300*(1-L300)</f>
        <v>10773.6</v>
      </c>
      <c r="O300" s="8" t="n">
        <f aca="false">N300-M300</f>
        <v>4906.89</v>
      </c>
      <c r="P300" s="10" t="n">
        <f aca="false">IFERROR(O300/N300,0)</f>
        <v>0.455455001113834</v>
      </c>
      <c r="Q300" s="7" t="str">
        <f aca="false">TEXT(B300,"mmm")</f>
        <v>May</v>
      </c>
      <c r="R300" s="7" t="str">
        <f aca="false">TEXT(B300,"yyyy-mm")</f>
        <v>2024-05</v>
      </c>
    </row>
    <row r="301" customFormat="false" ht="15" hidden="false" customHeight="false" outlineLevel="0" collapsed="false">
      <c r="A301" s="7" t="s">
        <v>792</v>
      </c>
      <c r="B301" s="7" t="s">
        <v>301</v>
      </c>
      <c r="C301" s="7" t="s">
        <v>563</v>
      </c>
      <c r="D301" s="7" t="s">
        <v>441</v>
      </c>
      <c r="E301" s="7" t="s">
        <v>442</v>
      </c>
      <c r="F301" s="7" t="s">
        <v>64</v>
      </c>
      <c r="G301" s="7" t="s">
        <v>49</v>
      </c>
      <c r="H301" s="7" t="s">
        <v>172</v>
      </c>
      <c r="I301" s="7" t="s">
        <v>51</v>
      </c>
      <c r="J301" s="7" t="n">
        <v>4</v>
      </c>
      <c r="K301" s="8" t="n">
        <v>3349</v>
      </c>
      <c r="L301" s="9" t="n">
        <v>0</v>
      </c>
      <c r="M301" s="8" t="n">
        <v>8762.36</v>
      </c>
      <c r="N301" s="8" t="n">
        <f aca="false">J301*K301*(1-L301)</f>
        <v>13396</v>
      </c>
      <c r="O301" s="8" t="n">
        <f aca="false">N301-M301</f>
        <v>4633.64</v>
      </c>
      <c r="P301" s="10" t="n">
        <f aca="false">IFERROR(O301/N301,0)</f>
        <v>0.345897282770976</v>
      </c>
      <c r="Q301" s="7" t="str">
        <f aca="false">TEXT(B301,"mmm")</f>
        <v>May</v>
      </c>
      <c r="R301" s="7" t="str">
        <f aca="false">TEXT(B301,"yyyy-mm")</f>
        <v>2024-05</v>
      </c>
    </row>
    <row r="302" customFormat="false" ht="15" hidden="false" customHeight="false" outlineLevel="0" collapsed="false">
      <c r="A302" s="7" t="s">
        <v>793</v>
      </c>
      <c r="B302" s="7" t="s">
        <v>102</v>
      </c>
      <c r="C302" s="7" t="s">
        <v>330</v>
      </c>
      <c r="D302" s="7" t="s">
        <v>206</v>
      </c>
      <c r="E302" s="7" t="s">
        <v>207</v>
      </c>
      <c r="F302" s="7" t="s">
        <v>88</v>
      </c>
      <c r="G302" s="7" t="s">
        <v>73</v>
      </c>
      <c r="H302" s="7" t="s">
        <v>74</v>
      </c>
      <c r="I302" s="7" t="s">
        <v>51</v>
      </c>
      <c r="J302" s="7" t="n">
        <v>2</v>
      </c>
      <c r="K302" s="8" t="n">
        <v>1029</v>
      </c>
      <c r="L302" s="9" t="n">
        <v>0.15</v>
      </c>
      <c r="M302" s="8" t="n">
        <v>1257.24</v>
      </c>
      <c r="N302" s="8" t="n">
        <f aca="false">J302*K302*(1-L302)</f>
        <v>1749.3</v>
      </c>
      <c r="O302" s="8" t="n">
        <f aca="false">N302-M302</f>
        <v>492.06</v>
      </c>
      <c r="P302" s="10" t="n">
        <f aca="false">IFERROR(O302/N302,0)</f>
        <v>0.281289658720631</v>
      </c>
      <c r="Q302" s="7" t="str">
        <f aca="false">TEXT(B302,"mmm")</f>
        <v>Jul</v>
      </c>
      <c r="R302" s="7" t="str">
        <f aca="false">TEXT(B302,"yyyy-mm")</f>
        <v>2024-07</v>
      </c>
    </row>
    <row r="303" customFormat="false" ht="15" hidden="false" customHeight="false" outlineLevel="0" collapsed="false">
      <c r="A303" s="7" t="s">
        <v>794</v>
      </c>
      <c r="B303" s="7" t="s">
        <v>795</v>
      </c>
      <c r="C303" s="7" t="s">
        <v>191</v>
      </c>
      <c r="D303" s="7" t="s">
        <v>459</v>
      </c>
      <c r="E303" s="7" t="s">
        <v>460</v>
      </c>
      <c r="F303" s="7" t="s">
        <v>64</v>
      </c>
      <c r="G303" s="7" t="s">
        <v>81</v>
      </c>
      <c r="H303" s="7" t="s">
        <v>237</v>
      </c>
      <c r="I303" s="7" t="s">
        <v>75</v>
      </c>
      <c r="J303" s="7" t="n">
        <v>4</v>
      </c>
      <c r="K303" s="8" t="n">
        <v>1520</v>
      </c>
      <c r="L303" s="9" t="n">
        <v>0.05</v>
      </c>
      <c r="M303" s="8" t="n">
        <v>3542.84</v>
      </c>
      <c r="N303" s="8" t="n">
        <f aca="false">J303*K303*(1-L303)</f>
        <v>5776</v>
      </c>
      <c r="O303" s="8" t="n">
        <f aca="false">N303-M303</f>
        <v>2233.16</v>
      </c>
      <c r="P303" s="10" t="n">
        <f aca="false">IFERROR(O303/N303,0)</f>
        <v>0.386627423822715</v>
      </c>
      <c r="Q303" s="7" t="str">
        <f aca="false">TEXT(B303,"mmm")</f>
        <v>Dec</v>
      </c>
      <c r="R303" s="7" t="str">
        <f aca="false">TEXT(B303,"yyyy-mm")</f>
        <v>2024-12</v>
      </c>
    </row>
    <row r="304" customFormat="false" ht="15" hidden="false" customHeight="false" outlineLevel="0" collapsed="false">
      <c r="A304" s="7" t="s">
        <v>796</v>
      </c>
      <c r="B304" s="7" t="s">
        <v>514</v>
      </c>
      <c r="C304" s="7" t="s">
        <v>751</v>
      </c>
      <c r="D304" s="7" t="s">
        <v>144</v>
      </c>
      <c r="E304" s="7" t="s">
        <v>145</v>
      </c>
      <c r="F304" s="7" t="s">
        <v>48</v>
      </c>
      <c r="G304" s="7" t="s">
        <v>49</v>
      </c>
      <c r="H304" s="7" t="s">
        <v>100</v>
      </c>
      <c r="I304" s="7" t="s">
        <v>51</v>
      </c>
      <c r="J304" s="7" t="n">
        <v>2</v>
      </c>
      <c r="K304" s="8" t="n">
        <v>5149</v>
      </c>
      <c r="L304" s="9" t="n">
        <v>0.05</v>
      </c>
      <c r="M304" s="8" t="n">
        <v>4344.96</v>
      </c>
      <c r="N304" s="8" t="n">
        <f aca="false">J304*K304*(1-L304)</f>
        <v>9783.1</v>
      </c>
      <c r="O304" s="8" t="n">
        <f aca="false">N304-M304</f>
        <v>5438.14</v>
      </c>
      <c r="P304" s="10" t="n">
        <f aca="false">IFERROR(O304/N304,0)</f>
        <v>0.555870838486778</v>
      </c>
      <c r="Q304" s="7" t="str">
        <f aca="false">TEXT(B304,"mmm")</f>
        <v>Jul</v>
      </c>
      <c r="R304" s="7" t="str">
        <f aca="false">TEXT(B304,"yyyy-mm")</f>
        <v>2024-07</v>
      </c>
    </row>
    <row r="305" customFormat="false" ht="15" hidden="false" customHeight="false" outlineLevel="0" collapsed="false">
      <c r="A305" s="7" t="s">
        <v>797</v>
      </c>
      <c r="B305" s="7" t="s">
        <v>222</v>
      </c>
      <c r="C305" s="7" t="s">
        <v>426</v>
      </c>
      <c r="D305" s="7" t="s">
        <v>287</v>
      </c>
      <c r="E305" s="7" t="s">
        <v>288</v>
      </c>
      <c r="F305" s="7" t="s">
        <v>72</v>
      </c>
      <c r="G305" s="7" t="s">
        <v>49</v>
      </c>
      <c r="H305" s="7" t="s">
        <v>50</v>
      </c>
      <c r="I305" s="7" t="s">
        <v>51</v>
      </c>
      <c r="J305" s="7" t="n">
        <v>1</v>
      </c>
      <c r="K305" s="8" t="n">
        <v>1049</v>
      </c>
      <c r="L305" s="9" t="n">
        <v>0.2</v>
      </c>
      <c r="M305" s="8" t="n">
        <v>662.02</v>
      </c>
      <c r="N305" s="8" t="n">
        <f aca="false">J305*K305*(1-L305)</f>
        <v>839.2</v>
      </c>
      <c r="O305" s="8" t="n">
        <f aca="false">N305-M305</f>
        <v>177.18</v>
      </c>
      <c r="P305" s="10" t="n">
        <f aca="false">IFERROR(O305/N305,0)</f>
        <v>0.211129647283127</v>
      </c>
      <c r="Q305" s="7" t="str">
        <f aca="false">TEXT(B305,"mmm")</f>
        <v>Jul</v>
      </c>
      <c r="R305" s="7" t="str">
        <f aca="false">TEXT(B305,"yyyy-mm")</f>
        <v>2024-07</v>
      </c>
    </row>
    <row r="306" customFormat="false" ht="15" hidden="false" customHeight="false" outlineLevel="0" collapsed="false">
      <c r="A306" s="7" t="s">
        <v>798</v>
      </c>
      <c r="B306" s="7" t="s">
        <v>799</v>
      </c>
      <c r="C306" s="7" t="s">
        <v>546</v>
      </c>
      <c r="D306" s="7" t="s">
        <v>62</v>
      </c>
      <c r="E306" s="7" t="s">
        <v>63</v>
      </c>
      <c r="F306" s="7" t="s">
        <v>64</v>
      </c>
      <c r="G306" s="7" t="s">
        <v>81</v>
      </c>
      <c r="H306" s="7" t="s">
        <v>82</v>
      </c>
      <c r="I306" s="7" t="s">
        <v>51</v>
      </c>
      <c r="J306" s="7" t="n">
        <v>12</v>
      </c>
      <c r="K306" s="8" t="n">
        <v>7079</v>
      </c>
      <c r="L306" s="9" t="n">
        <v>0</v>
      </c>
      <c r="M306" s="8" t="n">
        <v>32877.36</v>
      </c>
      <c r="N306" s="8" t="n">
        <f aca="false">J306*K306*(1-L306)</f>
        <v>84948</v>
      </c>
      <c r="O306" s="8" t="n">
        <f aca="false">N306-M306</f>
        <v>52070.64</v>
      </c>
      <c r="P306" s="10" t="n">
        <f aca="false">IFERROR(O306/N306,0)</f>
        <v>0.612970758581721</v>
      </c>
      <c r="Q306" s="7" t="str">
        <f aca="false">TEXT(B306,"mmm")</f>
        <v>Oct</v>
      </c>
      <c r="R306" s="7" t="str">
        <f aca="false">TEXT(B306,"yyyy-mm")</f>
        <v>2024-10</v>
      </c>
    </row>
    <row r="307" customFormat="false" ht="15" hidden="false" customHeight="false" outlineLevel="0" collapsed="false">
      <c r="A307" s="7" t="s">
        <v>800</v>
      </c>
      <c r="B307" s="7" t="s">
        <v>801</v>
      </c>
      <c r="C307" s="7" t="s">
        <v>386</v>
      </c>
      <c r="D307" s="7" t="s">
        <v>360</v>
      </c>
      <c r="E307" s="7" t="s">
        <v>361</v>
      </c>
      <c r="F307" s="7" t="s">
        <v>48</v>
      </c>
      <c r="G307" s="7" t="s">
        <v>81</v>
      </c>
      <c r="H307" s="7" t="s">
        <v>237</v>
      </c>
      <c r="I307" s="7" t="s">
        <v>51</v>
      </c>
      <c r="J307" s="7" t="n">
        <v>8</v>
      </c>
      <c r="K307" s="8" t="n">
        <v>679</v>
      </c>
      <c r="L307" s="9" t="n">
        <v>0.25</v>
      </c>
      <c r="M307" s="8" t="n">
        <v>3685.6</v>
      </c>
      <c r="N307" s="8" t="n">
        <f aca="false">J307*K307*(1-L307)</f>
        <v>4074</v>
      </c>
      <c r="O307" s="8" t="n">
        <f aca="false">N307-M307</f>
        <v>388.4</v>
      </c>
      <c r="P307" s="10" t="n">
        <f aca="false">IFERROR(O307/N307,0)</f>
        <v>0.0953362788414335</v>
      </c>
      <c r="Q307" s="7" t="str">
        <f aca="false">TEXT(B307,"mmm")</f>
        <v>Oct</v>
      </c>
      <c r="R307" s="7" t="str">
        <f aca="false">TEXT(B307,"yyyy-mm")</f>
        <v>2024-10</v>
      </c>
    </row>
    <row r="308" customFormat="false" ht="15" hidden="false" customHeight="false" outlineLevel="0" collapsed="false">
      <c r="A308" s="7" t="s">
        <v>802</v>
      </c>
      <c r="B308" s="7" t="s">
        <v>803</v>
      </c>
      <c r="C308" s="7" t="s">
        <v>596</v>
      </c>
      <c r="D308" s="7" t="s">
        <v>170</v>
      </c>
      <c r="E308" s="7" t="s">
        <v>171</v>
      </c>
      <c r="F308" s="7" t="s">
        <v>88</v>
      </c>
      <c r="G308" s="7" t="s">
        <v>73</v>
      </c>
      <c r="H308" s="7" t="s">
        <v>266</v>
      </c>
      <c r="I308" s="7" t="s">
        <v>51</v>
      </c>
      <c r="J308" s="7" t="n">
        <v>5</v>
      </c>
      <c r="K308" s="8" t="n">
        <v>5749</v>
      </c>
      <c r="L308" s="9" t="n">
        <v>0.05</v>
      </c>
      <c r="M308" s="8" t="n">
        <v>15788.55</v>
      </c>
      <c r="N308" s="8" t="n">
        <f aca="false">J308*K308*(1-L308)</f>
        <v>27307.75</v>
      </c>
      <c r="O308" s="8" t="n">
        <f aca="false">N308-M308</f>
        <v>11519.2</v>
      </c>
      <c r="P308" s="10" t="n">
        <f aca="false">IFERROR(O308/N308,0)</f>
        <v>0.421828967966969</v>
      </c>
      <c r="Q308" s="7" t="str">
        <f aca="false">TEXT(B308,"mmm")</f>
        <v>Jul</v>
      </c>
      <c r="R308" s="7" t="str">
        <f aca="false">TEXT(B308,"yyyy-mm")</f>
        <v>2024-07</v>
      </c>
    </row>
    <row r="309" customFormat="false" ht="15" hidden="false" customHeight="false" outlineLevel="0" collapsed="false">
      <c r="A309" s="7" t="s">
        <v>804</v>
      </c>
      <c r="B309" s="7" t="s">
        <v>355</v>
      </c>
      <c r="C309" s="7" t="s">
        <v>349</v>
      </c>
      <c r="D309" s="7" t="s">
        <v>260</v>
      </c>
      <c r="E309" s="7" t="s">
        <v>261</v>
      </c>
      <c r="F309" s="7" t="s">
        <v>72</v>
      </c>
      <c r="G309" s="7" t="s">
        <v>49</v>
      </c>
      <c r="H309" s="7" t="s">
        <v>58</v>
      </c>
      <c r="I309" s="7" t="s">
        <v>51</v>
      </c>
      <c r="J309" s="7" t="n">
        <v>4</v>
      </c>
      <c r="K309" s="8" t="n">
        <v>4879</v>
      </c>
      <c r="L309" s="9" t="n">
        <v>0</v>
      </c>
      <c r="M309" s="8" t="n">
        <v>9734.92</v>
      </c>
      <c r="N309" s="8" t="n">
        <f aca="false">J309*K309*(1-L309)</f>
        <v>19516</v>
      </c>
      <c r="O309" s="8" t="n">
        <f aca="false">N309-M309</f>
        <v>9781.08</v>
      </c>
      <c r="P309" s="10" t="n">
        <f aca="false">IFERROR(O309/N309,0)</f>
        <v>0.501182619389219</v>
      </c>
      <c r="Q309" s="7" t="str">
        <f aca="false">TEXT(B309,"mmm")</f>
        <v>Dec</v>
      </c>
      <c r="R309" s="7" t="str">
        <f aca="false">TEXT(B309,"yyyy-mm")</f>
        <v>2024-12</v>
      </c>
    </row>
    <row r="310" customFormat="false" ht="15" hidden="false" customHeight="false" outlineLevel="0" collapsed="false">
      <c r="A310" s="7" t="s">
        <v>805</v>
      </c>
      <c r="B310" s="7" t="s">
        <v>98</v>
      </c>
      <c r="C310" s="7" t="s">
        <v>806</v>
      </c>
      <c r="D310" s="7" t="s">
        <v>154</v>
      </c>
      <c r="E310" s="7" t="s">
        <v>155</v>
      </c>
      <c r="F310" s="7" t="s">
        <v>57</v>
      </c>
      <c r="G310" s="7" t="s">
        <v>73</v>
      </c>
      <c r="H310" s="7" t="s">
        <v>115</v>
      </c>
      <c r="I310" s="7" t="s">
        <v>75</v>
      </c>
      <c r="J310" s="7" t="n">
        <v>2</v>
      </c>
      <c r="K310" s="8" t="n">
        <v>2949</v>
      </c>
      <c r="L310" s="9" t="n">
        <v>0.15</v>
      </c>
      <c r="M310" s="8" t="n">
        <v>3110.78</v>
      </c>
      <c r="N310" s="8" t="n">
        <f aca="false">J310*K310*(1-L310)</f>
        <v>5013.3</v>
      </c>
      <c r="O310" s="8" t="n">
        <f aca="false">N310-M310</f>
        <v>1902.52</v>
      </c>
      <c r="P310" s="10" t="n">
        <f aca="false">IFERROR(O310/N310,0)</f>
        <v>0.379494544511599</v>
      </c>
      <c r="Q310" s="7" t="str">
        <f aca="false">TEXT(B310,"mmm")</f>
        <v>Jun</v>
      </c>
      <c r="R310" s="7" t="str">
        <f aca="false">TEXT(B310,"yyyy-mm")</f>
        <v>2024-06</v>
      </c>
    </row>
    <row r="311" customFormat="false" ht="15" hidden="false" customHeight="false" outlineLevel="0" collapsed="false">
      <c r="A311" s="7" t="s">
        <v>807</v>
      </c>
      <c r="B311" s="7" t="s">
        <v>718</v>
      </c>
      <c r="C311" s="7" t="s">
        <v>256</v>
      </c>
      <c r="D311" s="7" t="s">
        <v>130</v>
      </c>
      <c r="E311" s="7" t="s">
        <v>131</v>
      </c>
      <c r="F311" s="7" t="s">
        <v>72</v>
      </c>
      <c r="G311" s="7" t="s">
        <v>73</v>
      </c>
      <c r="H311" s="7" t="s">
        <v>266</v>
      </c>
      <c r="I311" s="7" t="s">
        <v>51</v>
      </c>
      <c r="J311" s="7" t="n">
        <v>3</v>
      </c>
      <c r="K311" s="8" t="n">
        <v>7899</v>
      </c>
      <c r="L311" s="9" t="n">
        <v>0.05</v>
      </c>
      <c r="M311" s="8" t="n">
        <v>10217.49</v>
      </c>
      <c r="N311" s="8" t="n">
        <f aca="false">J311*K311*(1-L311)</f>
        <v>22512.15</v>
      </c>
      <c r="O311" s="8" t="n">
        <f aca="false">N311-M311</f>
        <v>12294.66</v>
      </c>
      <c r="P311" s="10" t="n">
        <f aca="false">IFERROR(O311/N311,0)</f>
        <v>0.54613442074613</v>
      </c>
      <c r="Q311" s="7" t="str">
        <f aca="false">TEXT(B311,"mmm")</f>
        <v>Oct</v>
      </c>
      <c r="R311" s="7" t="str">
        <f aca="false">TEXT(B311,"yyyy-mm")</f>
        <v>2024-10</v>
      </c>
    </row>
    <row r="312" customFormat="false" ht="15" hidden="false" customHeight="false" outlineLevel="0" collapsed="false">
      <c r="A312" s="7" t="s">
        <v>808</v>
      </c>
      <c r="B312" s="7" t="s">
        <v>809</v>
      </c>
      <c r="C312" s="7" t="s">
        <v>256</v>
      </c>
      <c r="D312" s="7" t="s">
        <v>154</v>
      </c>
      <c r="E312" s="7" t="s">
        <v>155</v>
      </c>
      <c r="F312" s="7" t="s">
        <v>57</v>
      </c>
      <c r="G312" s="7" t="s">
        <v>81</v>
      </c>
      <c r="H312" s="7" t="s">
        <v>109</v>
      </c>
      <c r="I312" s="7" t="s">
        <v>51</v>
      </c>
      <c r="J312" s="7" t="n">
        <v>2</v>
      </c>
      <c r="K312" s="8" t="n">
        <v>2949</v>
      </c>
      <c r="L312" s="9" t="n">
        <v>0.1</v>
      </c>
      <c r="M312" s="8" t="n">
        <v>3110.78</v>
      </c>
      <c r="N312" s="8" t="n">
        <f aca="false">J312*K312*(1-L312)</f>
        <v>5308.2</v>
      </c>
      <c r="O312" s="8" t="n">
        <f aca="false">N312-M312</f>
        <v>2197.42</v>
      </c>
      <c r="P312" s="10" t="n">
        <f aca="false">IFERROR(O312/N312,0)</f>
        <v>0.41396706981651</v>
      </c>
      <c r="Q312" s="7" t="str">
        <f aca="false">TEXT(B312,"mmm")</f>
        <v>May</v>
      </c>
      <c r="R312" s="7" t="str">
        <f aca="false">TEXT(B312,"yyyy-mm")</f>
        <v>2024-05</v>
      </c>
    </row>
    <row r="313" customFormat="false" ht="15" hidden="false" customHeight="false" outlineLevel="0" collapsed="false">
      <c r="A313" s="7" t="s">
        <v>810</v>
      </c>
      <c r="B313" s="7" t="s">
        <v>147</v>
      </c>
      <c r="C313" s="7" t="s">
        <v>139</v>
      </c>
      <c r="D313" s="7" t="s">
        <v>113</v>
      </c>
      <c r="E313" s="7" t="s">
        <v>114</v>
      </c>
      <c r="F313" s="7" t="s">
        <v>57</v>
      </c>
      <c r="G313" s="7" t="s">
        <v>81</v>
      </c>
      <c r="H313" s="7" t="s">
        <v>186</v>
      </c>
      <c r="I313" s="7" t="s">
        <v>51</v>
      </c>
      <c r="J313" s="7" t="n">
        <v>2</v>
      </c>
      <c r="K313" s="8" t="n">
        <v>3069</v>
      </c>
      <c r="L313" s="9" t="n">
        <v>0.25</v>
      </c>
      <c r="M313" s="8" t="n">
        <v>4584.16</v>
      </c>
      <c r="N313" s="8" t="n">
        <f aca="false">J313*K313*(1-L313)</f>
        <v>4603.5</v>
      </c>
      <c r="O313" s="8" t="n">
        <f aca="false">N313-M313</f>
        <v>19.3400000000001</v>
      </c>
      <c r="P313" s="10" t="n">
        <f aca="false">IFERROR(O313/N313,0)</f>
        <v>0.00420115129792552</v>
      </c>
      <c r="Q313" s="7" t="str">
        <f aca="false">TEXT(B313,"mmm")</f>
        <v>Jan</v>
      </c>
      <c r="R313" s="7" t="str">
        <f aca="false">TEXT(B313,"yyyy-mm")</f>
        <v>2024-01</v>
      </c>
    </row>
    <row r="314" customFormat="false" ht="15" hidden="false" customHeight="false" outlineLevel="0" collapsed="false">
      <c r="A314" s="7" t="s">
        <v>811</v>
      </c>
      <c r="B314" s="7" t="s">
        <v>772</v>
      </c>
      <c r="C314" s="7" t="s">
        <v>470</v>
      </c>
      <c r="D314" s="7" t="s">
        <v>197</v>
      </c>
      <c r="E314" s="7" t="s">
        <v>198</v>
      </c>
      <c r="F314" s="7" t="s">
        <v>64</v>
      </c>
      <c r="G314" s="7" t="s">
        <v>49</v>
      </c>
      <c r="H314" s="7" t="s">
        <v>50</v>
      </c>
      <c r="I314" s="7" t="s">
        <v>51</v>
      </c>
      <c r="J314" s="7" t="n">
        <v>8</v>
      </c>
      <c r="K314" s="8" t="n">
        <v>2910</v>
      </c>
      <c r="L314" s="9" t="n">
        <v>0</v>
      </c>
      <c r="M314" s="8" t="n">
        <v>10721.28</v>
      </c>
      <c r="N314" s="8" t="n">
        <f aca="false">J314*K314*(1-L314)</f>
        <v>23280</v>
      </c>
      <c r="O314" s="8" t="n">
        <f aca="false">N314-M314</f>
        <v>12558.72</v>
      </c>
      <c r="P314" s="10" t="n">
        <f aca="false">IFERROR(O314/N314,0)</f>
        <v>0.539463917525773</v>
      </c>
      <c r="Q314" s="7" t="str">
        <f aca="false">TEXT(B314,"mmm")</f>
        <v>Oct</v>
      </c>
      <c r="R314" s="7" t="str">
        <f aca="false">TEXT(B314,"yyyy-mm")</f>
        <v>2024-10</v>
      </c>
    </row>
    <row r="315" customFormat="false" ht="15" hidden="false" customHeight="false" outlineLevel="0" collapsed="false">
      <c r="A315" s="7" t="s">
        <v>812</v>
      </c>
      <c r="B315" s="7" t="s">
        <v>147</v>
      </c>
      <c r="C315" s="7" t="s">
        <v>139</v>
      </c>
      <c r="D315" s="7" t="s">
        <v>170</v>
      </c>
      <c r="E315" s="7" t="s">
        <v>171</v>
      </c>
      <c r="F315" s="7" t="s">
        <v>88</v>
      </c>
      <c r="G315" s="7" t="s">
        <v>49</v>
      </c>
      <c r="H315" s="7" t="s">
        <v>58</v>
      </c>
      <c r="I315" s="7" t="s">
        <v>51</v>
      </c>
      <c r="J315" s="7" t="n">
        <v>2</v>
      </c>
      <c r="K315" s="8" t="n">
        <v>5749</v>
      </c>
      <c r="L315" s="9" t="n">
        <v>0.25</v>
      </c>
      <c r="M315" s="8" t="n">
        <v>6315.42</v>
      </c>
      <c r="N315" s="8" t="n">
        <f aca="false">J315*K315*(1-L315)</f>
        <v>8623.5</v>
      </c>
      <c r="O315" s="8" t="n">
        <f aca="false">N315-M315</f>
        <v>2308.08</v>
      </c>
      <c r="P315" s="10" t="n">
        <f aca="false">IFERROR(O315/N315,0)</f>
        <v>0.267650026091494</v>
      </c>
      <c r="Q315" s="7" t="str">
        <f aca="false">TEXT(B315,"mmm")</f>
        <v>Jan</v>
      </c>
      <c r="R315" s="7" t="str">
        <f aca="false">TEXT(B315,"yyyy-mm")</f>
        <v>2024-01</v>
      </c>
    </row>
    <row r="316" customFormat="false" ht="15" hidden="false" customHeight="false" outlineLevel="0" collapsed="false">
      <c r="A316" s="7" t="s">
        <v>813</v>
      </c>
      <c r="B316" s="7" t="s">
        <v>209</v>
      </c>
      <c r="C316" s="7" t="s">
        <v>463</v>
      </c>
      <c r="D316" s="7" t="s">
        <v>287</v>
      </c>
      <c r="E316" s="7" t="s">
        <v>288</v>
      </c>
      <c r="F316" s="7" t="s">
        <v>72</v>
      </c>
      <c r="G316" s="7" t="s">
        <v>65</v>
      </c>
      <c r="H316" s="7" t="s">
        <v>217</v>
      </c>
      <c r="I316" s="7" t="s">
        <v>75</v>
      </c>
      <c r="J316" s="7" t="n">
        <v>1</v>
      </c>
      <c r="K316" s="8" t="n">
        <v>1049</v>
      </c>
      <c r="L316" s="9" t="n">
        <v>0</v>
      </c>
      <c r="M316" s="8" t="n">
        <v>662.02</v>
      </c>
      <c r="N316" s="8" t="n">
        <f aca="false">J316*K316*(1-L316)</f>
        <v>1049</v>
      </c>
      <c r="O316" s="8" t="n">
        <f aca="false">N316-M316</f>
        <v>386.98</v>
      </c>
      <c r="P316" s="10" t="n">
        <f aca="false">IFERROR(O316/N316,0)</f>
        <v>0.368903717826501</v>
      </c>
      <c r="Q316" s="7" t="str">
        <f aca="false">TEXT(B316,"mmm")</f>
        <v>Dec</v>
      </c>
      <c r="R316" s="7" t="str">
        <f aca="false">TEXT(B316,"yyyy-mm")</f>
        <v>2024-12</v>
      </c>
    </row>
    <row r="317" customFormat="false" ht="15" hidden="false" customHeight="false" outlineLevel="0" collapsed="false">
      <c r="A317" s="7" t="s">
        <v>814</v>
      </c>
      <c r="B317" s="7" t="s">
        <v>753</v>
      </c>
      <c r="C317" s="7" t="s">
        <v>259</v>
      </c>
      <c r="D317" s="7" t="s">
        <v>104</v>
      </c>
      <c r="E317" s="7" t="s">
        <v>105</v>
      </c>
      <c r="F317" s="7" t="s">
        <v>48</v>
      </c>
      <c r="G317" s="7" t="s">
        <v>73</v>
      </c>
      <c r="H317" s="7" t="s">
        <v>115</v>
      </c>
      <c r="I317" s="7" t="s">
        <v>51</v>
      </c>
      <c r="J317" s="7" t="n">
        <v>1</v>
      </c>
      <c r="K317" s="8" t="n">
        <v>2000</v>
      </c>
      <c r="L317" s="9" t="n">
        <v>0</v>
      </c>
      <c r="M317" s="8" t="n">
        <v>871.3</v>
      </c>
      <c r="N317" s="8" t="n">
        <f aca="false">J317*K317*(1-L317)</f>
        <v>2000</v>
      </c>
      <c r="O317" s="8" t="n">
        <f aca="false">N317-M317</f>
        <v>1128.7</v>
      </c>
      <c r="P317" s="10" t="n">
        <f aca="false">IFERROR(O317/N317,0)</f>
        <v>0.56435</v>
      </c>
      <c r="Q317" s="7" t="str">
        <f aca="false">TEXT(B317,"mmm")</f>
        <v>Sep</v>
      </c>
      <c r="R317" s="7" t="str">
        <f aca="false">TEXT(B317,"yyyy-mm")</f>
        <v>2024-09</v>
      </c>
    </row>
    <row r="318" customFormat="false" ht="15" hidden="false" customHeight="false" outlineLevel="0" collapsed="false">
      <c r="A318" s="7" t="s">
        <v>815</v>
      </c>
      <c r="B318" s="7" t="s">
        <v>580</v>
      </c>
      <c r="C318" s="7" t="s">
        <v>816</v>
      </c>
      <c r="D318" s="7" t="s">
        <v>201</v>
      </c>
      <c r="E318" s="7" t="s">
        <v>202</v>
      </c>
      <c r="F318" s="7" t="s">
        <v>72</v>
      </c>
      <c r="G318" s="7" t="s">
        <v>81</v>
      </c>
      <c r="H318" s="7" t="s">
        <v>109</v>
      </c>
      <c r="I318" s="7" t="s">
        <v>51</v>
      </c>
      <c r="J318" s="7" t="n">
        <v>2</v>
      </c>
      <c r="K318" s="8" t="n">
        <v>3990</v>
      </c>
      <c r="L318" s="9" t="n">
        <v>0.1</v>
      </c>
      <c r="M318" s="8" t="n">
        <v>6067.22</v>
      </c>
      <c r="N318" s="8" t="n">
        <f aca="false">J318*K318*(1-L318)</f>
        <v>7182</v>
      </c>
      <c r="O318" s="8" t="n">
        <f aca="false">N318-M318</f>
        <v>1114.78</v>
      </c>
      <c r="P318" s="10" t="n">
        <f aca="false">IFERROR(O318/N318,0)</f>
        <v>0.155218602060707</v>
      </c>
      <c r="Q318" s="7" t="str">
        <f aca="false">TEXT(B318,"mmm")</f>
        <v>Jul</v>
      </c>
      <c r="R318" s="7" t="str">
        <f aca="false">TEXT(B318,"yyyy-mm")</f>
        <v>2024-07</v>
      </c>
    </row>
    <row r="319" customFormat="false" ht="15" hidden="false" customHeight="false" outlineLevel="0" collapsed="false">
      <c r="A319" s="7" t="s">
        <v>817</v>
      </c>
      <c r="B319" s="7" t="s">
        <v>818</v>
      </c>
      <c r="C319" s="7" t="s">
        <v>320</v>
      </c>
      <c r="D319" s="7" t="s">
        <v>423</v>
      </c>
      <c r="E319" s="7" t="s">
        <v>424</v>
      </c>
      <c r="F319" s="7" t="s">
        <v>48</v>
      </c>
      <c r="G319" s="7" t="s">
        <v>73</v>
      </c>
      <c r="H319" s="7" t="s">
        <v>211</v>
      </c>
      <c r="I319" s="7" t="s">
        <v>75</v>
      </c>
      <c r="J319" s="7" t="n">
        <v>4</v>
      </c>
      <c r="K319" s="8" t="n">
        <v>5039</v>
      </c>
      <c r="L319" s="9" t="n">
        <v>0.15</v>
      </c>
      <c r="M319" s="8" t="n">
        <v>7785.44</v>
      </c>
      <c r="N319" s="8" t="n">
        <f aca="false">J319*K319*(1-L319)</f>
        <v>17132.6</v>
      </c>
      <c r="O319" s="8" t="n">
        <f aca="false">N319-M319</f>
        <v>9347.16</v>
      </c>
      <c r="P319" s="10" t="n">
        <f aca="false">IFERROR(O319/N319,0)</f>
        <v>0.545577437166571</v>
      </c>
      <c r="Q319" s="7" t="str">
        <f aca="false">TEXT(B319,"mmm")</f>
        <v>Jul</v>
      </c>
      <c r="R319" s="7" t="str">
        <f aca="false">TEXT(B319,"yyyy-mm")</f>
        <v>2024-07</v>
      </c>
    </row>
    <row r="320" customFormat="false" ht="15" hidden="false" customHeight="false" outlineLevel="0" collapsed="false">
      <c r="A320" s="7" t="s">
        <v>819</v>
      </c>
      <c r="B320" s="7" t="s">
        <v>820</v>
      </c>
      <c r="C320" s="7" t="s">
        <v>535</v>
      </c>
      <c r="D320" s="7" t="s">
        <v>170</v>
      </c>
      <c r="E320" s="7" t="s">
        <v>171</v>
      </c>
      <c r="F320" s="7" t="s">
        <v>88</v>
      </c>
      <c r="G320" s="7" t="s">
        <v>49</v>
      </c>
      <c r="H320" s="7" t="s">
        <v>100</v>
      </c>
      <c r="I320" s="7" t="s">
        <v>75</v>
      </c>
      <c r="J320" s="7" t="n">
        <v>4</v>
      </c>
      <c r="K320" s="8" t="n">
        <v>5749</v>
      </c>
      <c r="L320" s="9" t="n">
        <v>0</v>
      </c>
      <c r="M320" s="8" t="n">
        <v>12630.84</v>
      </c>
      <c r="N320" s="8" t="n">
        <f aca="false">J320*K320*(1-L320)</f>
        <v>22996</v>
      </c>
      <c r="O320" s="8" t="n">
        <f aca="false">N320-M320</f>
        <v>10365.16</v>
      </c>
      <c r="P320" s="10" t="n">
        <f aca="false">IFERROR(O320/N320,0)</f>
        <v>0.450737519568621</v>
      </c>
      <c r="Q320" s="7" t="str">
        <f aca="false">TEXT(B320,"mmm")</f>
        <v>Aug</v>
      </c>
      <c r="R320" s="7" t="str">
        <f aca="false">TEXT(B320,"yyyy-mm")</f>
        <v>2024-08</v>
      </c>
    </row>
    <row r="321" customFormat="false" ht="15" hidden="false" customHeight="false" outlineLevel="0" collapsed="false">
      <c r="A321" s="7" t="s">
        <v>821</v>
      </c>
      <c r="B321" s="7" t="s">
        <v>822</v>
      </c>
      <c r="C321" s="7" t="s">
        <v>767</v>
      </c>
      <c r="D321" s="7" t="s">
        <v>119</v>
      </c>
      <c r="E321" s="7" t="s">
        <v>120</v>
      </c>
      <c r="F321" s="7" t="s">
        <v>88</v>
      </c>
      <c r="G321" s="7" t="s">
        <v>81</v>
      </c>
      <c r="H321" s="7" t="s">
        <v>186</v>
      </c>
      <c r="I321" s="7" t="s">
        <v>51</v>
      </c>
      <c r="J321" s="7" t="n">
        <v>3</v>
      </c>
      <c r="K321" s="8" t="n">
        <v>620</v>
      </c>
      <c r="L321" s="9" t="n">
        <v>0</v>
      </c>
      <c r="M321" s="8" t="n">
        <v>1363.65</v>
      </c>
      <c r="N321" s="8" t="n">
        <f aca="false">J321*K321*(1-L321)</f>
        <v>1860</v>
      </c>
      <c r="O321" s="8" t="n">
        <f aca="false">N321-M321</f>
        <v>496.35</v>
      </c>
      <c r="P321" s="10" t="n">
        <f aca="false">IFERROR(O321/N321,0)</f>
        <v>0.266854838709677</v>
      </c>
      <c r="Q321" s="7" t="str">
        <f aca="false">TEXT(B321,"mmm")</f>
        <v>Oct</v>
      </c>
      <c r="R321" s="7" t="str">
        <f aca="false">TEXT(B321,"yyyy-mm")</f>
        <v>2024-10</v>
      </c>
    </row>
    <row r="322" customFormat="false" ht="15" hidden="false" customHeight="false" outlineLevel="0" collapsed="false">
      <c r="A322" s="7" t="s">
        <v>823</v>
      </c>
      <c r="B322" s="7" t="s">
        <v>824</v>
      </c>
      <c r="C322" s="7" t="s">
        <v>447</v>
      </c>
      <c r="D322" s="7" t="s">
        <v>423</v>
      </c>
      <c r="E322" s="7" t="s">
        <v>424</v>
      </c>
      <c r="F322" s="7" t="s">
        <v>48</v>
      </c>
      <c r="G322" s="7" t="s">
        <v>49</v>
      </c>
      <c r="H322" s="7" t="s">
        <v>172</v>
      </c>
      <c r="I322" s="7" t="s">
        <v>75</v>
      </c>
      <c r="J322" s="7" t="n">
        <v>1</v>
      </c>
      <c r="K322" s="8" t="n">
        <v>5039</v>
      </c>
      <c r="L322" s="9" t="n">
        <v>0.2</v>
      </c>
      <c r="M322" s="8" t="n">
        <v>1946.36</v>
      </c>
      <c r="N322" s="8" t="n">
        <f aca="false">J322*K322*(1-L322)</f>
        <v>4031.2</v>
      </c>
      <c r="O322" s="8" t="n">
        <f aca="false">N322-M322</f>
        <v>2084.84</v>
      </c>
      <c r="P322" s="10" t="n">
        <f aca="false">IFERROR(O322/N322,0)</f>
        <v>0.517176026989482</v>
      </c>
      <c r="Q322" s="7" t="str">
        <f aca="false">TEXT(B322,"mmm")</f>
        <v>Jun</v>
      </c>
      <c r="R322" s="7" t="str">
        <f aca="false">TEXT(B322,"yyyy-mm")</f>
        <v>2024-06</v>
      </c>
    </row>
    <row r="323" customFormat="false" ht="15" hidden="false" customHeight="false" outlineLevel="0" collapsed="false">
      <c r="A323" s="7" t="s">
        <v>825</v>
      </c>
      <c r="B323" s="7" t="s">
        <v>298</v>
      </c>
      <c r="C323" s="7" t="s">
        <v>489</v>
      </c>
      <c r="D323" s="7" t="s">
        <v>135</v>
      </c>
      <c r="E323" s="7" t="s">
        <v>136</v>
      </c>
      <c r="F323" s="7" t="s">
        <v>72</v>
      </c>
      <c r="G323" s="7" t="s">
        <v>73</v>
      </c>
      <c r="H323" s="7" t="s">
        <v>211</v>
      </c>
      <c r="I323" s="7" t="s">
        <v>75</v>
      </c>
      <c r="J323" s="7" t="n">
        <v>2</v>
      </c>
      <c r="K323" s="8" t="n">
        <v>7029</v>
      </c>
      <c r="L323" s="9" t="n">
        <v>0</v>
      </c>
      <c r="M323" s="8" t="n">
        <v>6974.02</v>
      </c>
      <c r="N323" s="8" t="n">
        <f aca="false">J323*K323*(1-L323)</f>
        <v>14058</v>
      </c>
      <c r="O323" s="8" t="n">
        <f aca="false">N323-M323</f>
        <v>7083.98</v>
      </c>
      <c r="P323" s="10" t="n">
        <f aca="false">IFERROR(O323/N323,0)</f>
        <v>0.503910940389814</v>
      </c>
      <c r="Q323" s="7" t="str">
        <f aca="false">TEXT(B323,"mmm")</f>
        <v>Jul</v>
      </c>
      <c r="R323" s="7" t="str">
        <f aca="false">TEXT(B323,"yyyy-mm")</f>
        <v>2024-07</v>
      </c>
    </row>
    <row r="324" customFormat="false" ht="15" hidden="false" customHeight="false" outlineLevel="0" collapsed="false">
      <c r="A324" s="7" t="s">
        <v>826</v>
      </c>
      <c r="B324" s="7" t="s">
        <v>523</v>
      </c>
      <c r="C324" s="7" t="s">
        <v>827</v>
      </c>
      <c r="D324" s="7" t="s">
        <v>104</v>
      </c>
      <c r="E324" s="7" t="s">
        <v>105</v>
      </c>
      <c r="F324" s="7" t="s">
        <v>48</v>
      </c>
      <c r="G324" s="7" t="s">
        <v>49</v>
      </c>
      <c r="H324" s="7" t="s">
        <v>172</v>
      </c>
      <c r="I324" s="7" t="s">
        <v>75</v>
      </c>
      <c r="J324" s="7" t="n">
        <v>12</v>
      </c>
      <c r="K324" s="8" t="n">
        <v>2000</v>
      </c>
      <c r="L324" s="9" t="n">
        <v>0</v>
      </c>
      <c r="M324" s="8" t="n">
        <v>10455.6</v>
      </c>
      <c r="N324" s="8" t="n">
        <f aca="false">J324*K324*(1-L324)</f>
        <v>24000</v>
      </c>
      <c r="O324" s="8" t="n">
        <f aca="false">N324-M324</f>
        <v>13544.4</v>
      </c>
      <c r="P324" s="10" t="n">
        <f aca="false">IFERROR(O324/N324,0)</f>
        <v>0.56435</v>
      </c>
      <c r="Q324" s="7" t="str">
        <f aca="false">TEXT(B324,"mmm")</f>
        <v>Oct</v>
      </c>
      <c r="R324" s="7" t="str">
        <f aca="false">TEXT(B324,"yyyy-mm")</f>
        <v>2024-10</v>
      </c>
    </row>
    <row r="325" customFormat="false" ht="15" hidden="false" customHeight="false" outlineLevel="0" collapsed="false">
      <c r="A325" s="7" t="s">
        <v>828</v>
      </c>
      <c r="B325" s="7" t="s">
        <v>829</v>
      </c>
      <c r="C325" s="7" t="s">
        <v>724</v>
      </c>
      <c r="D325" s="7" t="s">
        <v>464</v>
      </c>
      <c r="E325" s="7" t="s">
        <v>465</v>
      </c>
      <c r="F325" s="7" t="s">
        <v>48</v>
      </c>
      <c r="G325" s="7" t="s">
        <v>65</v>
      </c>
      <c r="H325" s="7" t="s">
        <v>217</v>
      </c>
      <c r="I325" s="7" t="s">
        <v>51</v>
      </c>
      <c r="J325" s="7" t="n">
        <v>5</v>
      </c>
      <c r="K325" s="8" t="n">
        <v>799</v>
      </c>
      <c r="L325" s="9" t="n">
        <v>0.15</v>
      </c>
      <c r="M325" s="8" t="n">
        <v>2069.9</v>
      </c>
      <c r="N325" s="8" t="n">
        <f aca="false">J325*K325*(1-L325)</f>
        <v>3395.75</v>
      </c>
      <c r="O325" s="8" t="n">
        <f aca="false">N325-M325</f>
        <v>1325.85</v>
      </c>
      <c r="P325" s="10" t="n">
        <f aca="false">IFERROR(O325/N325,0)</f>
        <v>0.390443937274534</v>
      </c>
      <c r="Q325" s="7" t="str">
        <f aca="false">TEXT(B325,"mmm")</f>
        <v>Jan</v>
      </c>
      <c r="R325" s="7" t="str">
        <f aca="false">TEXT(B325,"yyyy-mm")</f>
        <v>2024-01</v>
      </c>
    </row>
    <row r="326" customFormat="false" ht="15" hidden="false" customHeight="false" outlineLevel="0" collapsed="false">
      <c r="A326" s="7" t="s">
        <v>830</v>
      </c>
      <c r="B326" s="7" t="s">
        <v>831</v>
      </c>
      <c r="C326" s="7" t="s">
        <v>721</v>
      </c>
      <c r="D326" s="7" t="s">
        <v>124</v>
      </c>
      <c r="E326" s="7" t="s">
        <v>125</v>
      </c>
      <c r="F326" s="7" t="s">
        <v>64</v>
      </c>
      <c r="G326" s="7" t="s">
        <v>73</v>
      </c>
      <c r="H326" s="7" t="s">
        <v>74</v>
      </c>
      <c r="I326" s="7" t="s">
        <v>75</v>
      </c>
      <c r="J326" s="7" t="n">
        <v>4</v>
      </c>
      <c r="K326" s="8" t="n">
        <v>1349</v>
      </c>
      <c r="L326" s="9" t="n">
        <v>0.15</v>
      </c>
      <c r="M326" s="8" t="n">
        <v>2789.6</v>
      </c>
      <c r="N326" s="8" t="n">
        <f aca="false">J326*K326*(1-L326)</f>
        <v>4586.6</v>
      </c>
      <c r="O326" s="8" t="n">
        <f aca="false">N326-M326</f>
        <v>1797</v>
      </c>
      <c r="P326" s="10" t="n">
        <f aca="false">IFERROR(O326/N326,0)</f>
        <v>0.391793485370427</v>
      </c>
      <c r="Q326" s="7" t="str">
        <f aca="false">TEXT(B326,"mmm")</f>
        <v>Jul</v>
      </c>
      <c r="R326" s="7" t="str">
        <f aca="false">TEXT(B326,"yyyy-mm")</f>
        <v>2024-07</v>
      </c>
    </row>
    <row r="327" customFormat="false" ht="15" hidden="false" customHeight="false" outlineLevel="0" collapsed="false">
      <c r="A327" s="7" t="s">
        <v>832</v>
      </c>
      <c r="B327" s="7" t="s">
        <v>255</v>
      </c>
      <c r="C327" s="7" t="s">
        <v>368</v>
      </c>
      <c r="D327" s="7" t="s">
        <v>441</v>
      </c>
      <c r="E327" s="7" t="s">
        <v>442</v>
      </c>
      <c r="F327" s="7" t="s">
        <v>64</v>
      </c>
      <c r="G327" s="7" t="s">
        <v>65</v>
      </c>
      <c r="H327" s="7" t="s">
        <v>106</v>
      </c>
      <c r="I327" s="7" t="s">
        <v>51</v>
      </c>
      <c r="J327" s="7" t="n">
        <v>5</v>
      </c>
      <c r="K327" s="8" t="n">
        <v>3349</v>
      </c>
      <c r="L327" s="9" t="n">
        <v>0.1</v>
      </c>
      <c r="M327" s="8" t="n">
        <v>10952.95</v>
      </c>
      <c r="N327" s="8" t="n">
        <f aca="false">J327*K327*(1-L327)</f>
        <v>15070.5</v>
      </c>
      <c r="O327" s="8" t="n">
        <f aca="false">N327-M327</f>
        <v>4117.55</v>
      </c>
      <c r="P327" s="10" t="n">
        <f aca="false">IFERROR(O327/N327,0)</f>
        <v>0.273219203078863</v>
      </c>
      <c r="Q327" s="7" t="str">
        <f aca="false">TEXT(B327,"mmm")</f>
        <v>Jan</v>
      </c>
      <c r="R327" s="7" t="str">
        <f aca="false">TEXT(B327,"yyyy-mm")</f>
        <v>2024-01</v>
      </c>
    </row>
    <row r="328" customFormat="false" ht="15" hidden="false" customHeight="false" outlineLevel="0" collapsed="false">
      <c r="A328" s="7" t="s">
        <v>833</v>
      </c>
      <c r="B328" s="7" t="s">
        <v>200</v>
      </c>
      <c r="C328" s="7" t="s">
        <v>248</v>
      </c>
      <c r="D328" s="7" t="s">
        <v>227</v>
      </c>
      <c r="E328" s="7" t="s">
        <v>228</v>
      </c>
      <c r="F328" s="7" t="s">
        <v>64</v>
      </c>
      <c r="G328" s="7" t="s">
        <v>73</v>
      </c>
      <c r="H328" s="7" t="s">
        <v>211</v>
      </c>
      <c r="I328" s="7" t="s">
        <v>51</v>
      </c>
      <c r="J328" s="7" t="n">
        <v>6</v>
      </c>
      <c r="K328" s="8" t="n">
        <v>5529</v>
      </c>
      <c r="L328" s="9" t="n">
        <v>0</v>
      </c>
      <c r="M328" s="8" t="n">
        <v>18316.32</v>
      </c>
      <c r="N328" s="8" t="n">
        <f aca="false">J328*K328*(1-L328)</f>
        <v>33174</v>
      </c>
      <c r="O328" s="8" t="n">
        <f aca="false">N328-M328</f>
        <v>14857.68</v>
      </c>
      <c r="P328" s="10" t="n">
        <f aca="false">IFERROR(O328/N328,0)</f>
        <v>0.447871224452885</v>
      </c>
      <c r="Q328" s="7" t="str">
        <f aca="false">TEXT(B328,"mmm")</f>
        <v>May</v>
      </c>
      <c r="R328" s="7" t="str">
        <f aca="false">TEXT(B328,"yyyy-mm")</f>
        <v>2024-05</v>
      </c>
    </row>
    <row r="329" customFormat="false" ht="15" hidden="false" customHeight="false" outlineLevel="0" collapsed="false">
      <c r="A329" s="7" t="s">
        <v>834</v>
      </c>
      <c r="B329" s="7" t="s">
        <v>672</v>
      </c>
      <c r="C329" s="7" t="s">
        <v>835</v>
      </c>
      <c r="D329" s="7" t="s">
        <v>62</v>
      </c>
      <c r="E329" s="7" t="s">
        <v>63</v>
      </c>
      <c r="F329" s="7" t="s">
        <v>64</v>
      </c>
      <c r="G329" s="7" t="s">
        <v>73</v>
      </c>
      <c r="H329" s="7" t="s">
        <v>211</v>
      </c>
      <c r="I329" s="7" t="s">
        <v>51</v>
      </c>
      <c r="J329" s="7" t="n">
        <v>6</v>
      </c>
      <c r="K329" s="8" t="n">
        <v>7079</v>
      </c>
      <c r="L329" s="9" t="n">
        <v>0.1</v>
      </c>
      <c r="M329" s="8" t="n">
        <v>16438.68</v>
      </c>
      <c r="N329" s="8" t="n">
        <f aca="false">J329*K329*(1-L329)</f>
        <v>38226.6</v>
      </c>
      <c r="O329" s="8" t="n">
        <f aca="false">N329-M329</f>
        <v>21787.92</v>
      </c>
      <c r="P329" s="10" t="n">
        <f aca="false">IFERROR(O329/N329,0)</f>
        <v>0.569967509535245</v>
      </c>
      <c r="Q329" s="7" t="str">
        <f aca="false">TEXT(B329,"mmm")</f>
        <v>Nov</v>
      </c>
      <c r="R329" s="7" t="str">
        <f aca="false">TEXT(B329,"yyyy-mm")</f>
        <v>2024-11</v>
      </c>
    </row>
    <row r="330" customFormat="false" ht="15" hidden="false" customHeight="false" outlineLevel="0" collapsed="false">
      <c r="A330" s="7" t="s">
        <v>836</v>
      </c>
      <c r="B330" s="7" t="s">
        <v>684</v>
      </c>
      <c r="C330" s="7" t="s">
        <v>263</v>
      </c>
      <c r="D330" s="7" t="s">
        <v>201</v>
      </c>
      <c r="E330" s="7" t="s">
        <v>202</v>
      </c>
      <c r="F330" s="7" t="s">
        <v>72</v>
      </c>
      <c r="G330" s="7" t="s">
        <v>73</v>
      </c>
      <c r="H330" s="7" t="s">
        <v>115</v>
      </c>
      <c r="I330" s="7" t="s">
        <v>51</v>
      </c>
      <c r="J330" s="7" t="n">
        <v>7</v>
      </c>
      <c r="K330" s="8" t="n">
        <v>3990</v>
      </c>
      <c r="L330" s="9" t="n">
        <v>0.1</v>
      </c>
      <c r="M330" s="8" t="n">
        <v>21235.27</v>
      </c>
      <c r="N330" s="8" t="n">
        <f aca="false">J330*K330*(1-L330)</f>
        <v>25137</v>
      </c>
      <c r="O330" s="8" t="n">
        <f aca="false">N330-M330</f>
        <v>3901.73</v>
      </c>
      <c r="P330" s="10" t="n">
        <f aca="false">IFERROR(O330/N330,0)</f>
        <v>0.155218602060707</v>
      </c>
      <c r="Q330" s="7" t="str">
        <f aca="false">TEXT(B330,"mmm")</f>
        <v>Sep</v>
      </c>
      <c r="R330" s="7" t="str">
        <f aca="false">TEXT(B330,"yyyy-mm")</f>
        <v>2024-09</v>
      </c>
    </row>
    <row r="331" customFormat="false" ht="15" hidden="false" customHeight="false" outlineLevel="0" collapsed="false">
      <c r="A331" s="7" t="s">
        <v>837</v>
      </c>
      <c r="B331" s="7" t="s">
        <v>403</v>
      </c>
      <c r="C331" s="7" t="s">
        <v>437</v>
      </c>
      <c r="D331" s="7" t="s">
        <v>140</v>
      </c>
      <c r="E331" s="7" t="s">
        <v>141</v>
      </c>
      <c r="F331" s="7" t="s">
        <v>57</v>
      </c>
      <c r="G331" s="7" t="s">
        <v>65</v>
      </c>
      <c r="H331" s="7" t="s">
        <v>106</v>
      </c>
      <c r="I331" s="7" t="s">
        <v>75</v>
      </c>
      <c r="J331" s="7" t="n">
        <v>6</v>
      </c>
      <c r="K331" s="8" t="n">
        <v>1440</v>
      </c>
      <c r="L331" s="9" t="n">
        <v>0</v>
      </c>
      <c r="M331" s="8" t="n">
        <v>5822.34</v>
      </c>
      <c r="N331" s="8" t="n">
        <f aca="false">J331*K331*(1-L331)</f>
        <v>8640</v>
      </c>
      <c r="O331" s="8" t="n">
        <f aca="false">N331-M331</f>
        <v>2817.66</v>
      </c>
      <c r="P331" s="10" t="n">
        <f aca="false">IFERROR(O331/N331,0)</f>
        <v>0.326118055555556</v>
      </c>
      <c r="Q331" s="7" t="str">
        <f aca="false">TEXT(B331,"mmm")</f>
        <v>Mar</v>
      </c>
      <c r="R331" s="7" t="str">
        <f aca="false">TEXT(B331,"yyyy-mm")</f>
        <v>2024-03</v>
      </c>
    </row>
    <row r="332" customFormat="false" ht="15" hidden="false" customHeight="false" outlineLevel="0" collapsed="false">
      <c r="A332" s="7" t="s">
        <v>838</v>
      </c>
      <c r="B332" s="7" t="s">
        <v>839</v>
      </c>
      <c r="C332" s="7" t="s">
        <v>123</v>
      </c>
      <c r="D332" s="7" t="s">
        <v>95</v>
      </c>
      <c r="E332" s="7" t="s">
        <v>96</v>
      </c>
      <c r="F332" s="7" t="s">
        <v>48</v>
      </c>
      <c r="G332" s="7" t="s">
        <v>81</v>
      </c>
      <c r="H332" s="7" t="s">
        <v>186</v>
      </c>
      <c r="I332" s="7" t="s">
        <v>51</v>
      </c>
      <c r="J332" s="7" t="n">
        <v>4</v>
      </c>
      <c r="K332" s="8" t="n">
        <v>5529</v>
      </c>
      <c r="L332" s="9" t="n">
        <v>0</v>
      </c>
      <c r="M332" s="8" t="n">
        <v>12465.04</v>
      </c>
      <c r="N332" s="8" t="n">
        <f aca="false">J332*K332*(1-L332)</f>
        <v>22116</v>
      </c>
      <c r="O332" s="8" t="n">
        <f aca="false">N332-M332</f>
        <v>9650.96</v>
      </c>
      <c r="P332" s="10" t="n">
        <f aca="false">IFERROR(O332/N332,0)</f>
        <v>0.436379092060047</v>
      </c>
      <c r="Q332" s="7" t="str">
        <f aca="false">TEXT(B332,"mmm")</f>
        <v>Mar</v>
      </c>
      <c r="R332" s="7" t="str">
        <f aca="false">TEXT(B332,"yyyy-mm")</f>
        <v>2024-03</v>
      </c>
    </row>
    <row r="333" customFormat="false" ht="15" hidden="false" customHeight="false" outlineLevel="0" collapsed="false">
      <c r="A333" s="7" t="s">
        <v>840</v>
      </c>
      <c r="B333" s="7" t="s">
        <v>841</v>
      </c>
      <c r="C333" s="7" t="s">
        <v>166</v>
      </c>
      <c r="D333" s="7" t="s">
        <v>244</v>
      </c>
      <c r="E333" s="7" t="s">
        <v>245</v>
      </c>
      <c r="F333" s="7" t="s">
        <v>88</v>
      </c>
      <c r="G333" s="7" t="s">
        <v>73</v>
      </c>
      <c r="H333" s="7" t="s">
        <v>74</v>
      </c>
      <c r="I333" s="7" t="s">
        <v>75</v>
      </c>
      <c r="J333" s="7" t="n">
        <v>3</v>
      </c>
      <c r="K333" s="8" t="n">
        <v>5319</v>
      </c>
      <c r="L333" s="9" t="n">
        <v>0.05</v>
      </c>
      <c r="M333" s="8" t="n">
        <v>9257.49</v>
      </c>
      <c r="N333" s="8" t="n">
        <f aca="false">J333*K333*(1-L333)</f>
        <v>15159.15</v>
      </c>
      <c r="O333" s="8" t="n">
        <f aca="false">N333-M333</f>
        <v>5901.66</v>
      </c>
      <c r="P333" s="10" t="n">
        <f aca="false">IFERROR(O333/N333,0)</f>
        <v>0.389313384985306</v>
      </c>
      <c r="Q333" s="7" t="str">
        <f aca="false">TEXT(B333,"mmm")</f>
        <v>Aug</v>
      </c>
      <c r="R333" s="7" t="str">
        <f aca="false">TEXT(B333,"yyyy-mm")</f>
        <v>2024-08</v>
      </c>
    </row>
    <row r="334" customFormat="false" ht="15" hidden="false" customHeight="false" outlineLevel="0" collapsed="false">
      <c r="A334" s="7" t="s">
        <v>842</v>
      </c>
      <c r="B334" s="7" t="s">
        <v>783</v>
      </c>
      <c r="C334" s="7" t="s">
        <v>843</v>
      </c>
      <c r="D334" s="7" t="s">
        <v>360</v>
      </c>
      <c r="E334" s="7" t="s">
        <v>361</v>
      </c>
      <c r="F334" s="7" t="s">
        <v>48</v>
      </c>
      <c r="G334" s="7" t="s">
        <v>81</v>
      </c>
      <c r="H334" s="7" t="s">
        <v>109</v>
      </c>
      <c r="I334" s="7" t="s">
        <v>51</v>
      </c>
      <c r="J334" s="7" t="n">
        <v>5</v>
      </c>
      <c r="K334" s="8" t="n">
        <v>679</v>
      </c>
      <c r="L334" s="9" t="n">
        <v>0.2</v>
      </c>
      <c r="M334" s="8" t="n">
        <v>2303.5</v>
      </c>
      <c r="N334" s="8" t="n">
        <f aca="false">J334*K334*(1-L334)</f>
        <v>2716</v>
      </c>
      <c r="O334" s="8" t="n">
        <f aca="false">N334-M334</f>
        <v>412.5</v>
      </c>
      <c r="P334" s="10" t="n">
        <f aca="false">IFERROR(O334/N334,0)</f>
        <v>0.151877761413844</v>
      </c>
      <c r="Q334" s="7" t="str">
        <f aca="false">TEXT(B334,"mmm")</f>
        <v>Jan</v>
      </c>
      <c r="R334" s="7" t="str">
        <f aca="false">TEXT(B334,"yyyy-mm")</f>
        <v>2024-01</v>
      </c>
    </row>
    <row r="335" customFormat="false" ht="15" hidden="false" customHeight="false" outlineLevel="0" collapsed="false">
      <c r="A335" s="7" t="s">
        <v>844</v>
      </c>
      <c r="B335" s="7" t="s">
        <v>829</v>
      </c>
      <c r="C335" s="7" t="s">
        <v>134</v>
      </c>
      <c r="D335" s="7" t="s">
        <v>130</v>
      </c>
      <c r="E335" s="7" t="s">
        <v>131</v>
      </c>
      <c r="F335" s="7" t="s">
        <v>72</v>
      </c>
      <c r="G335" s="7" t="s">
        <v>49</v>
      </c>
      <c r="H335" s="7" t="s">
        <v>50</v>
      </c>
      <c r="I335" s="7" t="s">
        <v>51</v>
      </c>
      <c r="J335" s="7" t="n">
        <v>7</v>
      </c>
      <c r="K335" s="8" t="n">
        <v>7899</v>
      </c>
      <c r="L335" s="9" t="n">
        <v>0.2</v>
      </c>
      <c r="M335" s="8" t="n">
        <v>23840.81</v>
      </c>
      <c r="N335" s="8" t="n">
        <f aca="false">J335*K335*(1-L335)</f>
        <v>44234.4</v>
      </c>
      <c r="O335" s="8" t="n">
        <f aca="false">N335-M335</f>
        <v>20393.59</v>
      </c>
      <c r="P335" s="10" t="n">
        <f aca="false">IFERROR(O335/N335,0)</f>
        <v>0.46103462463603</v>
      </c>
      <c r="Q335" s="7" t="str">
        <f aca="false">TEXT(B335,"mmm")</f>
        <v>Jan</v>
      </c>
      <c r="R335" s="7" t="str">
        <f aca="false">TEXT(B335,"yyyy-mm")</f>
        <v>2024-01</v>
      </c>
    </row>
    <row r="336" customFormat="false" ht="15" hidden="false" customHeight="false" outlineLevel="0" collapsed="false">
      <c r="A336" s="7" t="s">
        <v>845</v>
      </c>
      <c r="B336" s="7" t="s">
        <v>236</v>
      </c>
      <c r="C336" s="7" t="s">
        <v>399</v>
      </c>
      <c r="D336" s="7" t="s">
        <v>70</v>
      </c>
      <c r="E336" s="7" t="s">
        <v>71</v>
      </c>
      <c r="F336" s="7" t="s">
        <v>72</v>
      </c>
      <c r="G336" s="7" t="s">
        <v>65</v>
      </c>
      <c r="H336" s="7" t="s">
        <v>126</v>
      </c>
      <c r="I336" s="7" t="s">
        <v>75</v>
      </c>
      <c r="J336" s="7" t="n">
        <v>4</v>
      </c>
      <c r="K336" s="8" t="n">
        <v>3059</v>
      </c>
      <c r="L336" s="9" t="n">
        <v>0.1</v>
      </c>
      <c r="M336" s="8" t="n">
        <v>6425.84</v>
      </c>
      <c r="N336" s="8" t="n">
        <f aca="false">J336*K336*(1-L336)</f>
        <v>11012.4</v>
      </c>
      <c r="O336" s="8" t="n">
        <f aca="false">N336-M336</f>
        <v>4586.56</v>
      </c>
      <c r="P336" s="10" t="n">
        <f aca="false">IFERROR(O336/N336,0)</f>
        <v>0.41649050161636</v>
      </c>
      <c r="Q336" s="7" t="str">
        <f aca="false">TEXT(B336,"mmm")</f>
        <v>Jan</v>
      </c>
      <c r="R336" s="7" t="str">
        <f aca="false">TEXT(B336,"yyyy-mm")</f>
        <v>2024-01</v>
      </c>
    </row>
    <row r="337" customFormat="false" ht="15" hidden="false" customHeight="false" outlineLevel="0" collapsed="false">
      <c r="A337" s="7" t="s">
        <v>846</v>
      </c>
      <c r="B337" s="7" t="s">
        <v>847</v>
      </c>
      <c r="C337" s="7" t="s">
        <v>259</v>
      </c>
      <c r="D337" s="7" t="s">
        <v>343</v>
      </c>
      <c r="E337" s="7" t="s">
        <v>344</v>
      </c>
      <c r="F337" s="7" t="s">
        <v>88</v>
      </c>
      <c r="G337" s="7" t="s">
        <v>49</v>
      </c>
      <c r="H337" s="7" t="s">
        <v>50</v>
      </c>
      <c r="I337" s="7" t="s">
        <v>51</v>
      </c>
      <c r="J337" s="7" t="n">
        <v>3</v>
      </c>
      <c r="K337" s="8" t="n">
        <v>2169</v>
      </c>
      <c r="L337" s="9" t="n">
        <v>0.05</v>
      </c>
      <c r="M337" s="8" t="n">
        <v>4481.7</v>
      </c>
      <c r="N337" s="8" t="n">
        <f aca="false">J337*K337*(1-L337)</f>
        <v>6181.65</v>
      </c>
      <c r="O337" s="8" t="n">
        <f aca="false">N337-M337</f>
        <v>1699.95</v>
      </c>
      <c r="P337" s="10" t="n">
        <f aca="false">IFERROR(O337/N337,0)</f>
        <v>0.274999393365849</v>
      </c>
      <c r="Q337" s="7" t="str">
        <f aca="false">TEXT(B337,"mmm")</f>
        <v>May</v>
      </c>
      <c r="R337" s="7" t="str">
        <f aca="false">TEXT(B337,"yyyy-mm")</f>
        <v>2024-05</v>
      </c>
    </row>
    <row r="338" customFormat="false" ht="15" hidden="false" customHeight="false" outlineLevel="0" collapsed="false">
      <c r="A338" s="7" t="s">
        <v>848</v>
      </c>
      <c r="B338" s="7" t="s">
        <v>388</v>
      </c>
      <c r="C338" s="7" t="s">
        <v>849</v>
      </c>
      <c r="D338" s="7" t="s">
        <v>154</v>
      </c>
      <c r="E338" s="7" t="s">
        <v>155</v>
      </c>
      <c r="F338" s="7" t="s">
        <v>57</v>
      </c>
      <c r="G338" s="7" t="s">
        <v>65</v>
      </c>
      <c r="H338" s="7" t="s">
        <v>106</v>
      </c>
      <c r="I338" s="7" t="s">
        <v>75</v>
      </c>
      <c r="J338" s="7" t="n">
        <v>3</v>
      </c>
      <c r="K338" s="8" t="n">
        <v>2949</v>
      </c>
      <c r="L338" s="9" t="n">
        <v>0.15</v>
      </c>
      <c r="M338" s="8" t="n">
        <v>4666.17</v>
      </c>
      <c r="N338" s="8" t="n">
        <f aca="false">J338*K338*(1-L338)</f>
        <v>7519.95</v>
      </c>
      <c r="O338" s="8" t="n">
        <f aca="false">N338-M338</f>
        <v>2853.78</v>
      </c>
      <c r="P338" s="10" t="n">
        <f aca="false">IFERROR(O338/N338,0)</f>
        <v>0.379494544511599</v>
      </c>
      <c r="Q338" s="7" t="str">
        <f aca="false">TEXT(B338,"mmm")</f>
        <v>Jan</v>
      </c>
      <c r="R338" s="7" t="str">
        <f aca="false">TEXT(B338,"yyyy-mm")</f>
        <v>2024-01</v>
      </c>
    </row>
    <row r="339" customFormat="false" ht="15" hidden="false" customHeight="false" outlineLevel="0" collapsed="false">
      <c r="A339" s="7" t="s">
        <v>850</v>
      </c>
      <c r="B339" s="7" t="s">
        <v>851</v>
      </c>
      <c r="C339" s="7" t="s">
        <v>158</v>
      </c>
      <c r="D339" s="7" t="s">
        <v>260</v>
      </c>
      <c r="E339" s="7" t="s">
        <v>261</v>
      </c>
      <c r="F339" s="7" t="s">
        <v>72</v>
      </c>
      <c r="G339" s="7" t="s">
        <v>65</v>
      </c>
      <c r="H339" s="7" t="s">
        <v>66</v>
      </c>
      <c r="I339" s="7" t="s">
        <v>75</v>
      </c>
      <c r="J339" s="7" t="n">
        <v>2</v>
      </c>
      <c r="K339" s="8" t="n">
        <v>4879</v>
      </c>
      <c r="L339" s="9" t="n">
        <v>0.15</v>
      </c>
      <c r="M339" s="8" t="n">
        <v>4867.46</v>
      </c>
      <c r="N339" s="8" t="n">
        <f aca="false">J339*K339*(1-L339)</f>
        <v>8294.3</v>
      </c>
      <c r="O339" s="8" t="n">
        <f aca="false">N339-M339</f>
        <v>3426.84</v>
      </c>
      <c r="P339" s="10" t="n">
        <f aca="false">IFERROR(O339/N339,0)</f>
        <v>0.413156022810846</v>
      </c>
      <c r="Q339" s="7" t="str">
        <f aca="false">TEXT(B339,"mmm")</f>
        <v>Feb</v>
      </c>
      <c r="R339" s="7" t="str">
        <f aca="false">TEXT(B339,"yyyy-mm")</f>
        <v>2024-02</v>
      </c>
    </row>
    <row r="340" customFormat="false" ht="15" hidden="false" customHeight="false" outlineLevel="0" collapsed="false">
      <c r="A340" s="7" t="s">
        <v>852</v>
      </c>
      <c r="B340" s="7" t="s">
        <v>572</v>
      </c>
      <c r="C340" s="7" t="s">
        <v>502</v>
      </c>
      <c r="D340" s="7" t="s">
        <v>154</v>
      </c>
      <c r="E340" s="7" t="s">
        <v>155</v>
      </c>
      <c r="F340" s="7" t="s">
        <v>57</v>
      </c>
      <c r="G340" s="7" t="s">
        <v>65</v>
      </c>
      <c r="H340" s="7" t="s">
        <v>126</v>
      </c>
      <c r="I340" s="7" t="s">
        <v>51</v>
      </c>
      <c r="J340" s="7" t="n">
        <v>3</v>
      </c>
      <c r="K340" s="8" t="n">
        <v>2949</v>
      </c>
      <c r="L340" s="9" t="n">
        <v>0.05</v>
      </c>
      <c r="M340" s="8" t="n">
        <v>4666.17</v>
      </c>
      <c r="N340" s="8" t="n">
        <f aca="false">J340*K340*(1-L340)</f>
        <v>8404.65</v>
      </c>
      <c r="O340" s="8" t="n">
        <f aca="false">N340-M340</f>
        <v>3738.48</v>
      </c>
      <c r="P340" s="10" t="n">
        <f aca="false">IFERROR(O340/N340,0)</f>
        <v>0.44481090824722</v>
      </c>
      <c r="Q340" s="7" t="str">
        <f aca="false">TEXT(B340,"mmm")</f>
        <v>Mar</v>
      </c>
      <c r="R340" s="7" t="str">
        <f aca="false">TEXT(B340,"yyyy-mm")</f>
        <v>2024-03</v>
      </c>
    </row>
    <row r="341" customFormat="false" ht="15" hidden="false" customHeight="false" outlineLevel="0" collapsed="false">
      <c r="A341" s="7" t="s">
        <v>853</v>
      </c>
      <c r="B341" s="7" t="s">
        <v>854</v>
      </c>
      <c r="C341" s="7" t="s">
        <v>640</v>
      </c>
      <c r="D341" s="7" t="s">
        <v>135</v>
      </c>
      <c r="E341" s="7" t="s">
        <v>136</v>
      </c>
      <c r="F341" s="7" t="s">
        <v>72</v>
      </c>
      <c r="G341" s="7" t="s">
        <v>73</v>
      </c>
      <c r="H341" s="7" t="s">
        <v>266</v>
      </c>
      <c r="I341" s="7" t="s">
        <v>51</v>
      </c>
      <c r="J341" s="7" t="n">
        <v>4</v>
      </c>
      <c r="K341" s="8" t="n">
        <v>7029</v>
      </c>
      <c r="L341" s="9" t="n">
        <v>0</v>
      </c>
      <c r="M341" s="8" t="n">
        <v>13948.04</v>
      </c>
      <c r="N341" s="8" t="n">
        <f aca="false">J341*K341*(1-L341)</f>
        <v>28116</v>
      </c>
      <c r="O341" s="8" t="n">
        <f aca="false">N341-M341</f>
        <v>14167.96</v>
      </c>
      <c r="P341" s="10" t="n">
        <f aca="false">IFERROR(O341/N341,0)</f>
        <v>0.503910940389814</v>
      </c>
      <c r="Q341" s="7" t="str">
        <f aca="false">TEXT(B341,"mmm")</f>
        <v>Aug</v>
      </c>
      <c r="R341" s="7" t="str">
        <f aca="false">TEXT(B341,"yyyy-mm")</f>
        <v>2024-08</v>
      </c>
    </row>
    <row r="342" customFormat="false" ht="15" hidden="false" customHeight="false" outlineLevel="0" collapsed="false">
      <c r="A342" s="7" t="s">
        <v>855</v>
      </c>
      <c r="B342" s="7" t="s">
        <v>856</v>
      </c>
      <c r="C342" s="7" t="s">
        <v>483</v>
      </c>
      <c r="D342" s="7" t="s">
        <v>104</v>
      </c>
      <c r="E342" s="7" t="s">
        <v>105</v>
      </c>
      <c r="F342" s="7" t="s">
        <v>48</v>
      </c>
      <c r="G342" s="7" t="s">
        <v>81</v>
      </c>
      <c r="H342" s="7" t="s">
        <v>237</v>
      </c>
      <c r="I342" s="7" t="s">
        <v>75</v>
      </c>
      <c r="J342" s="7" t="n">
        <v>4</v>
      </c>
      <c r="K342" s="8" t="n">
        <v>2000</v>
      </c>
      <c r="L342" s="9" t="n">
        <v>0.25</v>
      </c>
      <c r="M342" s="8" t="n">
        <v>3485.2</v>
      </c>
      <c r="N342" s="8" t="n">
        <f aca="false">J342*K342*(1-L342)</f>
        <v>6000</v>
      </c>
      <c r="O342" s="8" t="n">
        <f aca="false">N342-M342</f>
        <v>2514.8</v>
      </c>
      <c r="P342" s="10" t="n">
        <f aca="false">IFERROR(O342/N342,0)</f>
        <v>0.419133333333333</v>
      </c>
      <c r="Q342" s="7" t="str">
        <f aca="false">TEXT(B342,"mmm")</f>
        <v>Apr</v>
      </c>
      <c r="R342" s="7" t="str">
        <f aca="false">TEXT(B342,"yyyy-mm")</f>
        <v>2024-04</v>
      </c>
    </row>
    <row r="343" customFormat="false" ht="15" hidden="false" customHeight="false" outlineLevel="0" collapsed="false">
      <c r="A343" s="7" t="s">
        <v>857</v>
      </c>
      <c r="B343" s="7" t="s">
        <v>858</v>
      </c>
      <c r="C343" s="7" t="s">
        <v>622</v>
      </c>
      <c r="D343" s="7" t="s">
        <v>46</v>
      </c>
      <c r="E343" s="7" t="s">
        <v>47</v>
      </c>
      <c r="F343" s="7" t="s">
        <v>48</v>
      </c>
      <c r="G343" s="7" t="s">
        <v>81</v>
      </c>
      <c r="H343" s="7" t="s">
        <v>109</v>
      </c>
      <c r="I343" s="7" t="s">
        <v>75</v>
      </c>
      <c r="J343" s="7" t="n">
        <v>10</v>
      </c>
      <c r="K343" s="8" t="n">
        <v>4349</v>
      </c>
      <c r="L343" s="9" t="n">
        <v>0.05</v>
      </c>
      <c r="M343" s="8" t="n">
        <v>24887.7</v>
      </c>
      <c r="N343" s="8" t="n">
        <f aca="false">J343*K343*(1-L343)</f>
        <v>41315.5</v>
      </c>
      <c r="O343" s="8" t="n">
        <f aca="false">N343-M343</f>
        <v>16427.8</v>
      </c>
      <c r="P343" s="10" t="n">
        <f aca="false">IFERROR(O343/N343,0)</f>
        <v>0.397618327262166</v>
      </c>
      <c r="Q343" s="7" t="str">
        <f aca="false">TEXT(B343,"mmm")</f>
        <v>Nov</v>
      </c>
      <c r="R343" s="7" t="str">
        <f aca="false">TEXT(B343,"yyyy-mm")</f>
        <v>2024-11</v>
      </c>
    </row>
    <row r="344" customFormat="false" ht="15" hidden="false" customHeight="false" outlineLevel="0" collapsed="false">
      <c r="A344" s="7" t="s">
        <v>859</v>
      </c>
      <c r="B344" s="7" t="s">
        <v>860</v>
      </c>
      <c r="C344" s="7" t="s">
        <v>347</v>
      </c>
      <c r="D344" s="7" t="s">
        <v>70</v>
      </c>
      <c r="E344" s="7" t="s">
        <v>71</v>
      </c>
      <c r="F344" s="7" t="s">
        <v>72</v>
      </c>
      <c r="G344" s="7" t="s">
        <v>73</v>
      </c>
      <c r="H344" s="7" t="s">
        <v>74</v>
      </c>
      <c r="I344" s="7" t="s">
        <v>51</v>
      </c>
      <c r="J344" s="7" t="n">
        <v>5</v>
      </c>
      <c r="K344" s="8" t="n">
        <v>3059</v>
      </c>
      <c r="L344" s="9" t="n">
        <v>0.05</v>
      </c>
      <c r="M344" s="8" t="n">
        <v>8032.3</v>
      </c>
      <c r="N344" s="8" t="n">
        <f aca="false">J344*K344*(1-L344)</f>
        <v>14530.25</v>
      </c>
      <c r="O344" s="8" t="n">
        <f aca="false">N344-M344</f>
        <v>6497.95</v>
      </c>
      <c r="P344" s="10" t="n">
        <f aca="false">IFERROR(O344/N344,0)</f>
        <v>0.447201527847078</v>
      </c>
      <c r="Q344" s="7" t="str">
        <f aca="false">TEXT(B344,"mmm")</f>
        <v>Sep</v>
      </c>
      <c r="R344" s="7" t="str">
        <f aca="false">TEXT(B344,"yyyy-mm")</f>
        <v>2024-09</v>
      </c>
    </row>
    <row r="345" customFormat="false" ht="15" hidden="false" customHeight="false" outlineLevel="0" collapsed="false">
      <c r="A345" s="7" t="s">
        <v>861</v>
      </c>
      <c r="B345" s="7" t="s">
        <v>862</v>
      </c>
      <c r="C345" s="7" t="s">
        <v>721</v>
      </c>
      <c r="D345" s="7" t="s">
        <v>124</v>
      </c>
      <c r="E345" s="7" t="s">
        <v>125</v>
      </c>
      <c r="F345" s="7" t="s">
        <v>64</v>
      </c>
      <c r="G345" s="7" t="s">
        <v>65</v>
      </c>
      <c r="H345" s="7" t="s">
        <v>106</v>
      </c>
      <c r="I345" s="7" t="s">
        <v>51</v>
      </c>
      <c r="J345" s="7" t="n">
        <v>4</v>
      </c>
      <c r="K345" s="8" t="n">
        <v>1349</v>
      </c>
      <c r="L345" s="9" t="n">
        <v>0.15</v>
      </c>
      <c r="M345" s="8" t="n">
        <v>2789.6</v>
      </c>
      <c r="N345" s="8" t="n">
        <f aca="false">J345*K345*(1-L345)</f>
        <v>4586.6</v>
      </c>
      <c r="O345" s="8" t="n">
        <f aca="false">N345-M345</f>
        <v>1797</v>
      </c>
      <c r="P345" s="10" t="n">
        <f aca="false">IFERROR(O345/N345,0)</f>
        <v>0.391793485370427</v>
      </c>
      <c r="Q345" s="7" t="str">
        <f aca="false">TEXT(B345,"mmm")</f>
        <v>Jun</v>
      </c>
      <c r="R345" s="7" t="str">
        <f aca="false">TEXT(B345,"yyyy-mm")</f>
        <v>2024-06</v>
      </c>
    </row>
    <row r="346" customFormat="false" ht="15" hidden="false" customHeight="false" outlineLevel="0" collapsed="false">
      <c r="A346" s="7" t="s">
        <v>863</v>
      </c>
      <c r="B346" s="7" t="s">
        <v>864</v>
      </c>
      <c r="C346" s="7" t="s">
        <v>575</v>
      </c>
      <c r="D346" s="7" t="s">
        <v>130</v>
      </c>
      <c r="E346" s="7" t="s">
        <v>131</v>
      </c>
      <c r="F346" s="7" t="s">
        <v>72</v>
      </c>
      <c r="G346" s="7" t="s">
        <v>73</v>
      </c>
      <c r="H346" s="7" t="s">
        <v>266</v>
      </c>
      <c r="I346" s="7" t="s">
        <v>51</v>
      </c>
      <c r="J346" s="7" t="n">
        <v>5</v>
      </c>
      <c r="K346" s="8" t="n">
        <v>7899</v>
      </c>
      <c r="L346" s="9" t="n">
        <v>0.15</v>
      </c>
      <c r="M346" s="8" t="n">
        <v>17029.15</v>
      </c>
      <c r="N346" s="8" t="n">
        <f aca="false">J346*K346*(1-L346)</f>
        <v>33570.75</v>
      </c>
      <c r="O346" s="8" t="n">
        <f aca="false">N346-M346</f>
        <v>16541.6</v>
      </c>
      <c r="P346" s="10" t="n">
        <f aca="false">IFERROR(O346/N346,0)</f>
        <v>0.492738470245675</v>
      </c>
      <c r="Q346" s="7" t="str">
        <f aca="false">TEXT(B346,"mmm")</f>
        <v>Oct</v>
      </c>
      <c r="R346" s="7" t="str">
        <f aca="false">TEXT(B346,"yyyy-mm")</f>
        <v>2024-10</v>
      </c>
    </row>
    <row r="347" customFormat="false" ht="15" hidden="false" customHeight="false" outlineLevel="0" collapsed="false">
      <c r="A347" s="7" t="s">
        <v>865</v>
      </c>
      <c r="B347" s="7" t="s">
        <v>839</v>
      </c>
      <c r="C347" s="7" t="s">
        <v>518</v>
      </c>
      <c r="D347" s="7" t="s">
        <v>464</v>
      </c>
      <c r="E347" s="7" t="s">
        <v>465</v>
      </c>
      <c r="F347" s="7" t="s">
        <v>48</v>
      </c>
      <c r="G347" s="7" t="s">
        <v>65</v>
      </c>
      <c r="H347" s="7" t="s">
        <v>106</v>
      </c>
      <c r="I347" s="7" t="s">
        <v>51</v>
      </c>
      <c r="J347" s="7" t="n">
        <v>5</v>
      </c>
      <c r="K347" s="8" t="n">
        <v>799</v>
      </c>
      <c r="L347" s="9" t="n">
        <v>0</v>
      </c>
      <c r="M347" s="8" t="n">
        <v>2069.9</v>
      </c>
      <c r="N347" s="8" t="n">
        <f aca="false">J347*K347*(1-L347)</f>
        <v>3995</v>
      </c>
      <c r="O347" s="8" t="n">
        <f aca="false">N347-M347</f>
        <v>1925.1</v>
      </c>
      <c r="P347" s="10" t="n">
        <f aca="false">IFERROR(O347/N347,0)</f>
        <v>0.481877346683354</v>
      </c>
      <c r="Q347" s="7" t="str">
        <f aca="false">TEXT(B347,"mmm")</f>
        <v>Mar</v>
      </c>
      <c r="R347" s="7" t="str">
        <f aca="false">TEXT(B347,"yyyy-mm")</f>
        <v>2024-03</v>
      </c>
    </row>
    <row r="348" customFormat="false" ht="15" hidden="false" customHeight="false" outlineLevel="0" collapsed="false">
      <c r="A348" s="7" t="s">
        <v>866</v>
      </c>
      <c r="B348" s="7" t="s">
        <v>867</v>
      </c>
      <c r="C348" s="7" t="s">
        <v>868</v>
      </c>
      <c r="D348" s="7" t="s">
        <v>197</v>
      </c>
      <c r="E348" s="7" t="s">
        <v>198</v>
      </c>
      <c r="F348" s="7" t="s">
        <v>64</v>
      </c>
      <c r="G348" s="7" t="s">
        <v>49</v>
      </c>
      <c r="H348" s="7" t="s">
        <v>172</v>
      </c>
      <c r="I348" s="7" t="s">
        <v>75</v>
      </c>
      <c r="J348" s="7" t="n">
        <v>1</v>
      </c>
      <c r="K348" s="8" t="n">
        <v>2910</v>
      </c>
      <c r="L348" s="9" t="n">
        <v>0.25</v>
      </c>
      <c r="M348" s="8" t="n">
        <v>1340.16</v>
      </c>
      <c r="N348" s="8" t="n">
        <f aca="false">J348*K348*(1-L348)</f>
        <v>2182.5</v>
      </c>
      <c r="O348" s="8" t="n">
        <f aca="false">N348-M348</f>
        <v>842.34</v>
      </c>
      <c r="P348" s="10" t="n">
        <f aca="false">IFERROR(O348/N348,0)</f>
        <v>0.385951890034364</v>
      </c>
      <c r="Q348" s="7" t="str">
        <f aca="false">TEXT(B348,"mmm")</f>
        <v>Jul</v>
      </c>
      <c r="R348" s="7" t="str">
        <f aca="false">TEXT(B348,"yyyy-mm")</f>
        <v>2024-07</v>
      </c>
    </row>
    <row r="349" customFormat="false" ht="15" hidden="false" customHeight="false" outlineLevel="0" collapsed="false">
      <c r="A349" s="7" t="s">
        <v>869</v>
      </c>
      <c r="B349" s="7" t="s">
        <v>770</v>
      </c>
      <c r="C349" s="7" t="s">
        <v>670</v>
      </c>
      <c r="D349" s="7" t="s">
        <v>295</v>
      </c>
      <c r="E349" s="7" t="s">
        <v>296</v>
      </c>
      <c r="F349" s="7" t="s">
        <v>64</v>
      </c>
      <c r="G349" s="7" t="s">
        <v>49</v>
      </c>
      <c r="H349" s="7" t="s">
        <v>50</v>
      </c>
      <c r="I349" s="7" t="s">
        <v>51</v>
      </c>
      <c r="J349" s="7" t="n">
        <v>6</v>
      </c>
      <c r="K349" s="8" t="n">
        <v>1249</v>
      </c>
      <c r="L349" s="9" t="n">
        <v>0.25</v>
      </c>
      <c r="M349" s="8" t="n">
        <v>5503.86</v>
      </c>
      <c r="N349" s="8" t="n">
        <f aca="false">J349*K349*(1-L349)</f>
        <v>5620.5</v>
      </c>
      <c r="O349" s="8" t="n">
        <f aca="false">N349-M349</f>
        <v>116.64</v>
      </c>
      <c r="P349" s="10" t="n">
        <f aca="false">IFERROR(O349/N349,0)</f>
        <v>0.0207526020816654</v>
      </c>
      <c r="Q349" s="7" t="str">
        <f aca="false">TEXT(B349,"mmm")</f>
        <v>May</v>
      </c>
      <c r="R349" s="7" t="str">
        <f aca="false">TEXT(B349,"yyyy-mm")</f>
        <v>2024-05</v>
      </c>
    </row>
    <row r="350" customFormat="false" ht="15" hidden="false" customHeight="false" outlineLevel="0" collapsed="false">
      <c r="A350" s="7" t="s">
        <v>870</v>
      </c>
      <c r="B350" s="7" t="s">
        <v>102</v>
      </c>
      <c r="C350" s="7" t="s">
        <v>392</v>
      </c>
      <c r="D350" s="7" t="s">
        <v>441</v>
      </c>
      <c r="E350" s="7" t="s">
        <v>442</v>
      </c>
      <c r="F350" s="7" t="s">
        <v>64</v>
      </c>
      <c r="G350" s="7" t="s">
        <v>81</v>
      </c>
      <c r="H350" s="7" t="s">
        <v>82</v>
      </c>
      <c r="I350" s="7" t="s">
        <v>51</v>
      </c>
      <c r="J350" s="7" t="n">
        <v>5</v>
      </c>
      <c r="K350" s="8" t="n">
        <v>3349</v>
      </c>
      <c r="L350" s="9" t="n">
        <v>0</v>
      </c>
      <c r="M350" s="8" t="n">
        <v>10952.95</v>
      </c>
      <c r="N350" s="8" t="n">
        <f aca="false">J350*K350*(1-L350)</f>
        <v>16745</v>
      </c>
      <c r="O350" s="8" t="n">
        <f aca="false">N350-M350</f>
        <v>5792.05</v>
      </c>
      <c r="P350" s="10" t="n">
        <f aca="false">IFERROR(O350/N350,0)</f>
        <v>0.345897282770976</v>
      </c>
      <c r="Q350" s="7" t="str">
        <f aca="false">TEXT(B350,"mmm")</f>
        <v>Jul</v>
      </c>
      <c r="R350" s="7" t="str">
        <f aca="false">TEXT(B350,"yyyy-mm")</f>
        <v>2024-07</v>
      </c>
    </row>
    <row r="351" customFormat="false" ht="15" hidden="false" customHeight="false" outlineLevel="0" collapsed="false">
      <c r="A351" s="7" t="s">
        <v>871</v>
      </c>
      <c r="B351" s="7" t="s">
        <v>854</v>
      </c>
      <c r="C351" s="7" t="s">
        <v>483</v>
      </c>
      <c r="D351" s="7" t="s">
        <v>135</v>
      </c>
      <c r="E351" s="7" t="s">
        <v>136</v>
      </c>
      <c r="F351" s="7" t="s">
        <v>72</v>
      </c>
      <c r="G351" s="7" t="s">
        <v>49</v>
      </c>
      <c r="H351" s="7" t="s">
        <v>50</v>
      </c>
      <c r="I351" s="7" t="s">
        <v>51</v>
      </c>
      <c r="J351" s="7" t="n">
        <v>3</v>
      </c>
      <c r="K351" s="8" t="n">
        <v>7029</v>
      </c>
      <c r="L351" s="9" t="n">
        <v>0.2</v>
      </c>
      <c r="M351" s="8" t="n">
        <v>10461.03</v>
      </c>
      <c r="N351" s="8" t="n">
        <f aca="false">J351*K351*(1-L351)</f>
        <v>16869.6</v>
      </c>
      <c r="O351" s="8" t="n">
        <f aca="false">N351-M351</f>
        <v>6408.57</v>
      </c>
      <c r="P351" s="10" t="n">
        <f aca="false">IFERROR(O351/N351,0)</f>
        <v>0.379888675487267</v>
      </c>
      <c r="Q351" s="7" t="str">
        <f aca="false">TEXT(B351,"mmm")</f>
        <v>Aug</v>
      </c>
      <c r="R351" s="7" t="str">
        <f aca="false">TEXT(B351,"yyyy-mm")</f>
        <v>2024-08</v>
      </c>
    </row>
    <row r="352" customFormat="false" ht="15" hidden="false" customHeight="false" outlineLevel="0" collapsed="false">
      <c r="A352" s="7" t="s">
        <v>872</v>
      </c>
      <c r="B352" s="7" t="s">
        <v>873</v>
      </c>
      <c r="C352" s="7" t="s">
        <v>504</v>
      </c>
      <c r="D352" s="7" t="s">
        <v>181</v>
      </c>
      <c r="E352" s="7" t="s">
        <v>182</v>
      </c>
      <c r="F352" s="7" t="s">
        <v>88</v>
      </c>
      <c r="G352" s="7" t="s">
        <v>73</v>
      </c>
      <c r="H352" s="7" t="s">
        <v>211</v>
      </c>
      <c r="I352" s="7" t="s">
        <v>51</v>
      </c>
      <c r="J352" s="7" t="n">
        <v>4</v>
      </c>
      <c r="K352" s="8" t="n">
        <v>4489</v>
      </c>
      <c r="L352" s="9" t="n">
        <v>0.2</v>
      </c>
      <c r="M352" s="8" t="n">
        <v>7822.28</v>
      </c>
      <c r="N352" s="8" t="n">
        <f aca="false">J352*K352*(1-L352)</f>
        <v>14364.8</v>
      </c>
      <c r="O352" s="8" t="n">
        <f aca="false">N352-M352</f>
        <v>6542.52</v>
      </c>
      <c r="P352" s="10" t="n">
        <f aca="false">IFERROR(O352/N352,0)</f>
        <v>0.455455001113834</v>
      </c>
      <c r="Q352" s="7" t="str">
        <f aca="false">TEXT(B352,"mmm")</f>
        <v>Jun</v>
      </c>
      <c r="R352" s="7" t="str">
        <f aca="false">TEXT(B352,"yyyy-mm")</f>
        <v>2024-06</v>
      </c>
    </row>
    <row r="353" customFormat="false" ht="15" hidden="false" customHeight="false" outlineLevel="0" collapsed="false">
      <c r="A353" s="7" t="s">
        <v>874</v>
      </c>
      <c r="B353" s="7" t="s">
        <v>184</v>
      </c>
      <c r="C353" s="7" t="s">
        <v>875</v>
      </c>
      <c r="D353" s="7" t="s">
        <v>360</v>
      </c>
      <c r="E353" s="7" t="s">
        <v>361</v>
      </c>
      <c r="F353" s="7" t="s">
        <v>48</v>
      </c>
      <c r="G353" s="7" t="s">
        <v>81</v>
      </c>
      <c r="H353" s="7" t="s">
        <v>237</v>
      </c>
      <c r="I353" s="7" t="s">
        <v>51</v>
      </c>
      <c r="J353" s="7" t="n">
        <v>6</v>
      </c>
      <c r="K353" s="8" t="n">
        <v>679</v>
      </c>
      <c r="L353" s="9" t="n">
        <v>0</v>
      </c>
      <c r="M353" s="8" t="n">
        <v>2764.2</v>
      </c>
      <c r="N353" s="8" t="n">
        <f aca="false">J353*K353*(1-L353)</f>
        <v>4074</v>
      </c>
      <c r="O353" s="8" t="n">
        <f aca="false">N353-M353</f>
        <v>1309.8</v>
      </c>
      <c r="P353" s="10" t="n">
        <f aca="false">IFERROR(O353/N353,0)</f>
        <v>0.321502209131075</v>
      </c>
      <c r="Q353" s="7" t="str">
        <f aca="false">TEXT(B353,"mmm")</f>
        <v>Mar</v>
      </c>
      <c r="R353" s="7" t="str">
        <f aca="false">TEXT(B353,"yyyy-mm")</f>
        <v>2024-03</v>
      </c>
    </row>
    <row r="354" customFormat="false" ht="15" hidden="false" customHeight="false" outlineLevel="0" collapsed="false">
      <c r="A354" s="7" t="s">
        <v>876</v>
      </c>
      <c r="B354" s="7" t="s">
        <v>877</v>
      </c>
      <c r="C354" s="7" t="s">
        <v>759</v>
      </c>
      <c r="D354" s="7" t="s">
        <v>343</v>
      </c>
      <c r="E354" s="7" t="s">
        <v>344</v>
      </c>
      <c r="F354" s="7" t="s">
        <v>88</v>
      </c>
      <c r="G354" s="7" t="s">
        <v>73</v>
      </c>
      <c r="H354" s="7" t="s">
        <v>211</v>
      </c>
      <c r="I354" s="7" t="s">
        <v>51</v>
      </c>
      <c r="J354" s="7" t="n">
        <v>4</v>
      </c>
      <c r="K354" s="8" t="n">
        <v>2169</v>
      </c>
      <c r="L354" s="9" t="n">
        <v>0.05</v>
      </c>
      <c r="M354" s="8" t="n">
        <v>5975.6</v>
      </c>
      <c r="N354" s="8" t="n">
        <f aca="false">J354*K354*(1-L354)</f>
        <v>8242.2</v>
      </c>
      <c r="O354" s="8" t="n">
        <f aca="false">N354-M354</f>
        <v>2266.6</v>
      </c>
      <c r="P354" s="10" t="n">
        <f aca="false">IFERROR(O354/N354,0)</f>
        <v>0.274999393365849</v>
      </c>
      <c r="Q354" s="7" t="str">
        <f aca="false">TEXT(B354,"mmm")</f>
        <v>Jul</v>
      </c>
      <c r="R354" s="7" t="str">
        <f aca="false">TEXT(B354,"yyyy-mm")</f>
        <v>2024-07</v>
      </c>
    </row>
    <row r="355" customFormat="false" ht="15" hidden="false" customHeight="false" outlineLevel="0" collapsed="false">
      <c r="A355" s="7" t="s">
        <v>878</v>
      </c>
      <c r="B355" s="7" t="s">
        <v>514</v>
      </c>
      <c r="C355" s="7" t="s">
        <v>284</v>
      </c>
      <c r="D355" s="7" t="s">
        <v>162</v>
      </c>
      <c r="E355" s="7" t="s">
        <v>163</v>
      </c>
      <c r="F355" s="7" t="s">
        <v>57</v>
      </c>
      <c r="G355" s="7" t="s">
        <v>73</v>
      </c>
      <c r="H355" s="7" t="s">
        <v>266</v>
      </c>
      <c r="I355" s="7" t="s">
        <v>51</v>
      </c>
      <c r="J355" s="7" t="n">
        <v>2</v>
      </c>
      <c r="K355" s="8" t="n">
        <v>4629</v>
      </c>
      <c r="L355" s="9" t="n">
        <v>0.25</v>
      </c>
      <c r="M355" s="8" t="n">
        <v>4060.34</v>
      </c>
      <c r="N355" s="8" t="n">
        <f aca="false">J355*K355*(1-L355)</f>
        <v>6943.5</v>
      </c>
      <c r="O355" s="8" t="n">
        <f aca="false">N355-M355</f>
        <v>2883.16</v>
      </c>
      <c r="P355" s="10" t="n">
        <f aca="false">IFERROR(O355/N355,0)</f>
        <v>0.415231511485562</v>
      </c>
      <c r="Q355" s="7" t="str">
        <f aca="false">TEXT(B355,"mmm")</f>
        <v>Jul</v>
      </c>
      <c r="R355" s="7" t="str">
        <f aca="false">TEXT(B355,"yyyy-mm")</f>
        <v>2024-07</v>
      </c>
    </row>
    <row r="356" customFormat="false" ht="15" hidden="false" customHeight="false" outlineLevel="0" collapsed="false">
      <c r="A356" s="7" t="s">
        <v>879</v>
      </c>
      <c r="B356" s="7" t="s">
        <v>691</v>
      </c>
      <c r="C356" s="7" t="s">
        <v>78</v>
      </c>
      <c r="D356" s="7" t="s">
        <v>464</v>
      </c>
      <c r="E356" s="7" t="s">
        <v>465</v>
      </c>
      <c r="F356" s="7" t="s">
        <v>48</v>
      </c>
      <c r="G356" s="7" t="s">
        <v>49</v>
      </c>
      <c r="H356" s="7" t="s">
        <v>172</v>
      </c>
      <c r="I356" s="7" t="s">
        <v>75</v>
      </c>
      <c r="J356" s="7" t="n">
        <v>2</v>
      </c>
      <c r="K356" s="8" t="n">
        <v>799</v>
      </c>
      <c r="L356" s="9" t="n">
        <v>0</v>
      </c>
      <c r="M356" s="8" t="n">
        <v>827.96</v>
      </c>
      <c r="N356" s="8" t="n">
        <f aca="false">J356*K356*(1-L356)</f>
        <v>1598</v>
      </c>
      <c r="O356" s="8" t="n">
        <f aca="false">N356-M356</f>
        <v>770.04</v>
      </c>
      <c r="P356" s="10" t="n">
        <f aca="false">IFERROR(O356/N356,0)</f>
        <v>0.481877346683354</v>
      </c>
      <c r="Q356" s="7" t="str">
        <f aca="false">TEXT(B356,"mmm")</f>
        <v>Jun</v>
      </c>
      <c r="R356" s="7" t="str">
        <f aca="false">TEXT(B356,"yyyy-mm")</f>
        <v>2024-06</v>
      </c>
    </row>
    <row r="357" customFormat="false" ht="15" hidden="false" customHeight="false" outlineLevel="0" collapsed="false">
      <c r="A357" s="7" t="s">
        <v>880</v>
      </c>
      <c r="B357" s="7" t="s">
        <v>881</v>
      </c>
      <c r="C357" s="7" t="s">
        <v>259</v>
      </c>
      <c r="D357" s="7" t="s">
        <v>181</v>
      </c>
      <c r="E357" s="7" t="s">
        <v>182</v>
      </c>
      <c r="F357" s="7" t="s">
        <v>88</v>
      </c>
      <c r="G357" s="7" t="s">
        <v>65</v>
      </c>
      <c r="H357" s="7" t="s">
        <v>66</v>
      </c>
      <c r="I357" s="7" t="s">
        <v>75</v>
      </c>
      <c r="J357" s="7" t="n">
        <v>6</v>
      </c>
      <c r="K357" s="8" t="n">
        <v>4489</v>
      </c>
      <c r="L357" s="9" t="n">
        <v>0.1</v>
      </c>
      <c r="M357" s="8" t="n">
        <v>11733.42</v>
      </c>
      <c r="N357" s="8" t="n">
        <f aca="false">J357*K357*(1-L357)</f>
        <v>24240.6</v>
      </c>
      <c r="O357" s="8" t="n">
        <f aca="false">N357-M357</f>
        <v>12507.18</v>
      </c>
      <c r="P357" s="10" t="n">
        <f aca="false">IFERROR(O357/N357,0)</f>
        <v>0.515960000990075</v>
      </c>
      <c r="Q357" s="7" t="str">
        <f aca="false">TEXT(B357,"mmm")</f>
        <v>Feb</v>
      </c>
      <c r="R357" s="7" t="str">
        <f aca="false">TEXT(B357,"yyyy-mm")</f>
        <v>2024-02</v>
      </c>
    </row>
    <row r="358" customFormat="false" ht="15" hidden="false" customHeight="false" outlineLevel="0" collapsed="false">
      <c r="A358" s="7" t="s">
        <v>882</v>
      </c>
      <c r="B358" s="7" t="s">
        <v>883</v>
      </c>
      <c r="C358" s="7" t="s">
        <v>556</v>
      </c>
      <c r="D358" s="7" t="s">
        <v>249</v>
      </c>
      <c r="E358" s="7" t="s">
        <v>250</v>
      </c>
      <c r="F358" s="7" t="s">
        <v>57</v>
      </c>
      <c r="G358" s="7" t="s">
        <v>49</v>
      </c>
      <c r="H358" s="7" t="s">
        <v>58</v>
      </c>
      <c r="I358" s="7" t="s">
        <v>75</v>
      </c>
      <c r="J358" s="7" t="n">
        <v>9</v>
      </c>
      <c r="K358" s="8" t="n">
        <v>1730</v>
      </c>
      <c r="L358" s="9" t="n">
        <v>0.05</v>
      </c>
      <c r="M358" s="8" t="n">
        <v>7941.96</v>
      </c>
      <c r="N358" s="8" t="n">
        <f aca="false">J358*K358*(1-L358)</f>
        <v>14791.5</v>
      </c>
      <c r="O358" s="8" t="n">
        <f aca="false">N358-M358</f>
        <v>6849.54</v>
      </c>
      <c r="P358" s="10" t="n">
        <f aca="false">IFERROR(O358/N358,0)</f>
        <v>0.46307271067843</v>
      </c>
      <c r="Q358" s="7" t="str">
        <f aca="false">TEXT(B358,"mmm")</f>
        <v>Nov</v>
      </c>
      <c r="R358" s="7" t="str">
        <f aca="false">TEXT(B358,"yyyy-mm")</f>
        <v>2024-11</v>
      </c>
    </row>
    <row r="359" customFormat="false" ht="15" hidden="false" customHeight="false" outlineLevel="0" collapsed="false">
      <c r="A359" s="7" t="s">
        <v>884</v>
      </c>
      <c r="B359" s="7" t="s">
        <v>403</v>
      </c>
      <c r="C359" s="7" t="s">
        <v>416</v>
      </c>
      <c r="D359" s="7" t="s">
        <v>154</v>
      </c>
      <c r="E359" s="7" t="s">
        <v>155</v>
      </c>
      <c r="F359" s="7" t="s">
        <v>57</v>
      </c>
      <c r="G359" s="7" t="s">
        <v>73</v>
      </c>
      <c r="H359" s="7" t="s">
        <v>74</v>
      </c>
      <c r="I359" s="7" t="s">
        <v>75</v>
      </c>
      <c r="J359" s="7" t="n">
        <v>3</v>
      </c>
      <c r="K359" s="8" t="n">
        <v>2949</v>
      </c>
      <c r="L359" s="9" t="n">
        <v>0.2</v>
      </c>
      <c r="M359" s="8" t="n">
        <v>4666.17</v>
      </c>
      <c r="N359" s="8" t="n">
        <f aca="false">J359*K359*(1-L359)</f>
        <v>7077.6</v>
      </c>
      <c r="O359" s="8" t="n">
        <f aca="false">N359-M359</f>
        <v>2411.43</v>
      </c>
      <c r="P359" s="10" t="n">
        <f aca="false">IFERROR(O359/N359,0)</f>
        <v>0.340712953543574</v>
      </c>
      <c r="Q359" s="7" t="str">
        <f aca="false">TEXT(B359,"mmm")</f>
        <v>Mar</v>
      </c>
      <c r="R359" s="7" t="str">
        <f aca="false">TEXT(B359,"yyyy-mm")</f>
        <v>2024-03</v>
      </c>
    </row>
    <row r="360" customFormat="false" ht="15" hidden="false" customHeight="false" outlineLevel="0" collapsed="false">
      <c r="A360" s="7" t="s">
        <v>885</v>
      </c>
      <c r="B360" s="7" t="s">
        <v>213</v>
      </c>
      <c r="C360" s="7" t="s">
        <v>467</v>
      </c>
      <c r="D360" s="7" t="s">
        <v>295</v>
      </c>
      <c r="E360" s="7" t="s">
        <v>296</v>
      </c>
      <c r="F360" s="7" t="s">
        <v>64</v>
      </c>
      <c r="G360" s="7" t="s">
        <v>73</v>
      </c>
      <c r="H360" s="7" t="s">
        <v>115</v>
      </c>
      <c r="I360" s="7" t="s">
        <v>51</v>
      </c>
      <c r="J360" s="7" t="n">
        <v>2</v>
      </c>
      <c r="K360" s="8" t="n">
        <v>1249</v>
      </c>
      <c r="L360" s="9" t="n">
        <v>0.05</v>
      </c>
      <c r="M360" s="8" t="n">
        <v>1834.62</v>
      </c>
      <c r="N360" s="8" t="n">
        <f aca="false">J360*K360*(1-L360)</f>
        <v>2373.1</v>
      </c>
      <c r="O360" s="8" t="n">
        <f aca="false">N360-M360</f>
        <v>538.48</v>
      </c>
      <c r="P360" s="10" t="n">
        <f aca="false">IFERROR(O360/N360,0)</f>
        <v>0.226909949011841</v>
      </c>
      <c r="Q360" s="7" t="str">
        <f aca="false">TEXT(B360,"mmm")</f>
        <v>May</v>
      </c>
      <c r="R360" s="7" t="str">
        <f aca="false">TEXT(B360,"yyyy-mm")</f>
        <v>2024-05</v>
      </c>
    </row>
    <row r="361" customFormat="false" ht="15" hidden="false" customHeight="false" outlineLevel="0" collapsed="false">
      <c r="A361" s="7" t="s">
        <v>886</v>
      </c>
      <c r="B361" s="7" t="s">
        <v>887</v>
      </c>
      <c r="C361" s="7" t="s">
        <v>220</v>
      </c>
      <c r="D361" s="7" t="s">
        <v>464</v>
      </c>
      <c r="E361" s="7" t="s">
        <v>465</v>
      </c>
      <c r="F361" s="7" t="s">
        <v>48</v>
      </c>
      <c r="G361" s="7" t="s">
        <v>73</v>
      </c>
      <c r="H361" s="7" t="s">
        <v>211</v>
      </c>
      <c r="I361" s="7" t="s">
        <v>51</v>
      </c>
      <c r="J361" s="7" t="n">
        <v>3</v>
      </c>
      <c r="K361" s="8" t="n">
        <v>799</v>
      </c>
      <c r="L361" s="9" t="n">
        <v>0.05</v>
      </c>
      <c r="M361" s="8" t="n">
        <v>1241.94</v>
      </c>
      <c r="N361" s="8" t="n">
        <f aca="false">J361*K361*(1-L361)</f>
        <v>2277.15</v>
      </c>
      <c r="O361" s="8" t="n">
        <f aca="false">N361-M361</f>
        <v>1035.21</v>
      </c>
      <c r="P361" s="10" t="n">
        <f aca="false">IFERROR(O361/N361,0)</f>
        <v>0.454607733350899</v>
      </c>
      <c r="Q361" s="7" t="str">
        <f aca="false">TEXT(B361,"mmm")</f>
        <v>Apr</v>
      </c>
      <c r="R361" s="7" t="str">
        <f aca="false">TEXT(B361,"yyyy-mm")</f>
        <v>2024-04</v>
      </c>
    </row>
    <row r="362" customFormat="false" ht="15" hidden="false" customHeight="false" outlineLevel="0" collapsed="false">
      <c r="A362" s="7" t="s">
        <v>888</v>
      </c>
      <c r="B362" s="7" t="s">
        <v>514</v>
      </c>
      <c r="C362" s="7" t="s">
        <v>383</v>
      </c>
      <c r="D362" s="7" t="s">
        <v>162</v>
      </c>
      <c r="E362" s="7" t="s">
        <v>163</v>
      </c>
      <c r="F362" s="7" t="s">
        <v>57</v>
      </c>
      <c r="G362" s="7" t="s">
        <v>49</v>
      </c>
      <c r="H362" s="7" t="s">
        <v>100</v>
      </c>
      <c r="I362" s="7" t="s">
        <v>51</v>
      </c>
      <c r="J362" s="7" t="n">
        <v>2</v>
      </c>
      <c r="K362" s="8" t="n">
        <v>4629</v>
      </c>
      <c r="L362" s="9" t="n">
        <v>0.15</v>
      </c>
      <c r="M362" s="8" t="n">
        <v>4060.34</v>
      </c>
      <c r="N362" s="8" t="n">
        <f aca="false">J362*K362*(1-L362)</f>
        <v>7869.3</v>
      </c>
      <c r="O362" s="8" t="n">
        <f aca="false">N362-M362</f>
        <v>3808.96</v>
      </c>
      <c r="P362" s="10" t="n">
        <f aca="false">IFERROR(O362/N362,0)</f>
        <v>0.484027804251967</v>
      </c>
      <c r="Q362" s="7" t="str">
        <f aca="false">TEXT(B362,"mmm")</f>
        <v>Jul</v>
      </c>
      <c r="R362" s="7" t="str">
        <f aca="false">TEXT(B362,"yyyy-mm")</f>
        <v>2024-07</v>
      </c>
    </row>
    <row r="363" customFormat="false" ht="15" hidden="false" customHeight="false" outlineLevel="0" collapsed="false">
      <c r="A363" s="7" t="s">
        <v>889</v>
      </c>
      <c r="B363" s="7" t="s">
        <v>890</v>
      </c>
      <c r="C363" s="7" t="s">
        <v>575</v>
      </c>
      <c r="D363" s="7" t="s">
        <v>149</v>
      </c>
      <c r="E363" s="7" t="s">
        <v>150</v>
      </c>
      <c r="F363" s="7" t="s">
        <v>88</v>
      </c>
      <c r="G363" s="7" t="s">
        <v>49</v>
      </c>
      <c r="H363" s="7" t="s">
        <v>58</v>
      </c>
      <c r="I363" s="7" t="s">
        <v>51</v>
      </c>
      <c r="J363" s="7" t="n">
        <v>8</v>
      </c>
      <c r="K363" s="8" t="n">
        <v>5219</v>
      </c>
      <c r="L363" s="9" t="n">
        <v>0</v>
      </c>
      <c r="M363" s="8" t="n">
        <v>27928.32</v>
      </c>
      <c r="N363" s="8" t="n">
        <f aca="false">J363*K363*(1-L363)</f>
        <v>41752</v>
      </c>
      <c r="O363" s="8" t="n">
        <f aca="false">N363-M363</f>
        <v>13823.68</v>
      </c>
      <c r="P363" s="10" t="n">
        <f aca="false">IFERROR(O363/N363,0)</f>
        <v>0.331090247173788</v>
      </c>
      <c r="Q363" s="7" t="str">
        <f aca="false">TEXT(B363,"mmm")</f>
        <v>Apr</v>
      </c>
      <c r="R363" s="7" t="str">
        <f aca="false">TEXT(B363,"yyyy-mm")</f>
        <v>2024-04</v>
      </c>
    </row>
    <row r="364" customFormat="false" ht="15" hidden="false" customHeight="false" outlineLevel="0" collapsed="false">
      <c r="A364" s="7" t="s">
        <v>891</v>
      </c>
      <c r="B364" s="7" t="s">
        <v>204</v>
      </c>
      <c r="C364" s="7" t="s">
        <v>419</v>
      </c>
      <c r="D364" s="7" t="s">
        <v>95</v>
      </c>
      <c r="E364" s="7" t="s">
        <v>96</v>
      </c>
      <c r="F364" s="7" t="s">
        <v>48</v>
      </c>
      <c r="G364" s="7" t="s">
        <v>49</v>
      </c>
      <c r="H364" s="7" t="s">
        <v>58</v>
      </c>
      <c r="I364" s="7" t="s">
        <v>51</v>
      </c>
      <c r="J364" s="7" t="n">
        <v>4</v>
      </c>
      <c r="K364" s="8" t="n">
        <v>5529</v>
      </c>
      <c r="L364" s="9" t="n">
        <v>0.2</v>
      </c>
      <c r="M364" s="8" t="n">
        <v>12465.04</v>
      </c>
      <c r="N364" s="8" t="n">
        <f aca="false">J364*K364*(1-L364)</f>
        <v>17692.8</v>
      </c>
      <c r="O364" s="8" t="n">
        <f aca="false">N364-M364</f>
        <v>5227.76</v>
      </c>
      <c r="P364" s="10" t="n">
        <f aca="false">IFERROR(O364/N364,0)</f>
        <v>0.295473865075059</v>
      </c>
      <c r="Q364" s="7" t="str">
        <f aca="false">TEXT(B364,"mmm")</f>
        <v>Apr</v>
      </c>
      <c r="R364" s="7" t="str">
        <f aca="false">TEXT(B364,"yyyy-mm")</f>
        <v>2024-04</v>
      </c>
    </row>
    <row r="365" customFormat="false" ht="15" hidden="false" customHeight="false" outlineLevel="0" collapsed="false">
      <c r="A365" s="7" t="s">
        <v>892</v>
      </c>
      <c r="B365" s="7" t="s">
        <v>428</v>
      </c>
      <c r="C365" s="7" t="s">
        <v>790</v>
      </c>
      <c r="D365" s="7" t="s">
        <v>314</v>
      </c>
      <c r="E365" s="7" t="s">
        <v>315</v>
      </c>
      <c r="F365" s="7" t="s">
        <v>64</v>
      </c>
      <c r="G365" s="7" t="s">
        <v>49</v>
      </c>
      <c r="H365" s="7" t="s">
        <v>58</v>
      </c>
      <c r="I365" s="7" t="s">
        <v>51</v>
      </c>
      <c r="J365" s="7" t="n">
        <v>1</v>
      </c>
      <c r="K365" s="8" t="n">
        <v>4059</v>
      </c>
      <c r="L365" s="9" t="n">
        <v>0.15</v>
      </c>
      <c r="M365" s="8" t="n">
        <v>2279.54</v>
      </c>
      <c r="N365" s="8" t="n">
        <f aca="false">J365*K365*(1-L365)</f>
        <v>3450.15</v>
      </c>
      <c r="O365" s="8" t="n">
        <f aca="false">N365-M365</f>
        <v>1170.61</v>
      </c>
      <c r="P365" s="10" t="n">
        <f aca="false">IFERROR(O365/N365,0)</f>
        <v>0.339292494529223</v>
      </c>
      <c r="Q365" s="7" t="str">
        <f aca="false">TEXT(B365,"mmm")</f>
        <v>Jun</v>
      </c>
      <c r="R365" s="7" t="str">
        <f aca="false">TEXT(B365,"yyyy-mm")</f>
        <v>2024-06</v>
      </c>
    </row>
    <row r="366" customFormat="false" ht="15" hidden="false" customHeight="false" outlineLevel="0" collapsed="false">
      <c r="A366" s="7" t="s">
        <v>893</v>
      </c>
      <c r="B366" s="7" t="s">
        <v>894</v>
      </c>
      <c r="C366" s="7" t="s">
        <v>895</v>
      </c>
      <c r="D366" s="7" t="s">
        <v>181</v>
      </c>
      <c r="E366" s="7" t="s">
        <v>182</v>
      </c>
      <c r="F366" s="7" t="s">
        <v>88</v>
      </c>
      <c r="G366" s="7" t="s">
        <v>81</v>
      </c>
      <c r="H366" s="7" t="s">
        <v>109</v>
      </c>
      <c r="I366" s="7" t="s">
        <v>75</v>
      </c>
      <c r="J366" s="7" t="n">
        <v>7</v>
      </c>
      <c r="K366" s="8" t="n">
        <v>4489</v>
      </c>
      <c r="L366" s="9" t="n">
        <v>0</v>
      </c>
      <c r="M366" s="8" t="n">
        <v>13688.99</v>
      </c>
      <c r="N366" s="8" t="n">
        <f aca="false">J366*K366*(1-L366)</f>
        <v>31423</v>
      </c>
      <c r="O366" s="8" t="n">
        <f aca="false">N366-M366</f>
        <v>17734.01</v>
      </c>
      <c r="P366" s="10" t="n">
        <f aca="false">IFERROR(O366/N366,0)</f>
        <v>0.564364000891067</v>
      </c>
      <c r="Q366" s="7" t="str">
        <f aca="false">TEXT(B366,"mmm")</f>
        <v>Apr</v>
      </c>
      <c r="R366" s="7" t="str">
        <f aca="false">TEXT(B366,"yyyy-mm")</f>
        <v>2024-04</v>
      </c>
    </row>
    <row r="367" customFormat="false" ht="15" hidden="false" customHeight="false" outlineLevel="0" collapsed="false">
      <c r="A367" s="7" t="s">
        <v>896</v>
      </c>
      <c r="B367" s="7" t="s">
        <v>897</v>
      </c>
      <c r="C367" s="7" t="s">
        <v>248</v>
      </c>
      <c r="D367" s="7" t="s">
        <v>154</v>
      </c>
      <c r="E367" s="7" t="s">
        <v>155</v>
      </c>
      <c r="F367" s="7" t="s">
        <v>57</v>
      </c>
      <c r="G367" s="7" t="s">
        <v>65</v>
      </c>
      <c r="H367" s="7" t="s">
        <v>106</v>
      </c>
      <c r="I367" s="7" t="s">
        <v>51</v>
      </c>
      <c r="J367" s="7" t="n">
        <v>2</v>
      </c>
      <c r="K367" s="8" t="n">
        <v>2949</v>
      </c>
      <c r="L367" s="9" t="n">
        <v>0</v>
      </c>
      <c r="M367" s="8" t="n">
        <v>3110.78</v>
      </c>
      <c r="N367" s="8" t="n">
        <f aca="false">J367*K367*(1-L367)</f>
        <v>5898</v>
      </c>
      <c r="O367" s="8" t="n">
        <f aca="false">N367-M367</f>
        <v>2787.22</v>
      </c>
      <c r="P367" s="10" t="n">
        <f aca="false">IFERROR(O367/N367,0)</f>
        <v>0.472570362834859</v>
      </c>
      <c r="Q367" s="7" t="str">
        <f aca="false">TEXT(B367,"mmm")</f>
        <v>Jan</v>
      </c>
      <c r="R367" s="7" t="str">
        <f aca="false">TEXT(B367,"yyyy-mm")</f>
        <v>2024-01</v>
      </c>
    </row>
    <row r="368" customFormat="false" ht="15" hidden="false" customHeight="false" outlineLevel="0" collapsed="false">
      <c r="A368" s="7" t="s">
        <v>898</v>
      </c>
      <c r="B368" s="7" t="s">
        <v>899</v>
      </c>
      <c r="C368" s="7" t="s">
        <v>91</v>
      </c>
      <c r="D368" s="7" t="s">
        <v>124</v>
      </c>
      <c r="E368" s="7" t="s">
        <v>125</v>
      </c>
      <c r="F368" s="7" t="s">
        <v>64</v>
      </c>
      <c r="G368" s="7" t="s">
        <v>81</v>
      </c>
      <c r="H368" s="7" t="s">
        <v>82</v>
      </c>
      <c r="I368" s="7" t="s">
        <v>75</v>
      </c>
      <c r="J368" s="7" t="n">
        <v>1</v>
      </c>
      <c r="K368" s="8" t="n">
        <v>1349</v>
      </c>
      <c r="L368" s="9" t="n">
        <v>0.2</v>
      </c>
      <c r="M368" s="8" t="n">
        <v>697.4</v>
      </c>
      <c r="N368" s="8" t="n">
        <f aca="false">J368*K368*(1-L368)</f>
        <v>1079.2</v>
      </c>
      <c r="O368" s="8" t="n">
        <f aca="false">N368-M368</f>
        <v>381.8</v>
      </c>
      <c r="P368" s="10" t="n">
        <f aca="false">IFERROR(O368/N368,0)</f>
        <v>0.353780578206079</v>
      </c>
      <c r="Q368" s="7" t="str">
        <f aca="false">TEXT(B368,"mmm")</f>
        <v>Jan</v>
      </c>
      <c r="R368" s="7" t="str">
        <f aca="false">TEXT(B368,"yyyy-mm")</f>
        <v>2024-01</v>
      </c>
    </row>
    <row r="369" customFormat="false" ht="15" hidden="false" customHeight="false" outlineLevel="0" collapsed="false">
      <c r="A369" s="7" t="s">
        <v>900</v>
      </c>
      <c r="B369" s="7" t="s">
        <v>860</v>
      </c>
      <c r="C369" s="7" t="s">
        <v>901</v>
      </c>
      <c r="D369" s="7" t="s">
        <v>314</v>
      </c>
      <c r="E369" s="7" t="s">
        <v>315</v>
      </c>
      <c r="F369" s="7" t="s">
        <v>64</v>
      </c>
      <c r="G369" s="7" t="s">
        <v>81</v>
      </c>
      <c r="H369" s="7" t="s">
        <v>186</v>
      </c>
      <c r="I369" s="7" t="s">
        <v>51</v>
      </c>
      <c r="J369" s="7" t="n">
        <v>5</v>
      </c>
      <c r="K369" s="8" t="n">
        <v>4059</v>
      </c>
      <c r="L369" s="9" t="n">
        <v>0.15</v>
      </c>
      <c r="M369" s="8" t="n">
        <v>11397.7</v>
      </c>
      <c r="N369" s="8" t="n">
        <f aca="false">J369*K369*(1-L369)</f>
        <v>17250.75</v>
      </c>
      <c r="O369" s="8" t="n">
        <f aca="false">N369-M369</f>
        <v>5853.05</v>
      </c>
      <c r="P369" s="10" t="n">
        <f aca="false">IFERROR(O369/N369,0)</f>
        <v>0.339292494529223</v>
      </c>
      <c r="Q369" s="7" t="str">
        <f aca="false">TEXT(B369,"mmm")</f>
        <v>Sep</v>
      </c>
      <c r="R369" s="7" t="str">
        <f aca="false">TEXT(B369,"yyyy-mm")</f>
        <v>2024-09</v>
      </c>
    </row>
    <row r="370" customFormat="false" ht="15" hidden="false" customHeight="false" outlineLevel="0" collapsed="false">
      <c r="A370" s="7" t="s">
        <v>902</v>
      </c>
      <c r="B370" s="7" t="s">
        <v>661</v>
      </c>
      <c r="C370" s="7" t="s">
        <v>903</v>
      </c>
      <c r="D370" s="7" t="s">
        <v>314</v>
      </c>
      <c r="E370" s="7" t="s">
        <v>315</v>
      </c>
      <c r="F370" s="7" t="s">
        <v>64</v>
      </c>
      <c r="G370" s="7" t="s">
        <v>49</v>
      </c>
      <c r="H370" s="7" t="s">
        <v>58</v>
      </c>
      <c r="I370" s="7" t="s">
        <v>75</v>
      </c>
      <c r="J370" s="7" t="n">
        <v>3</v>
      </c>
      <c r="K370" s="8" t="n">
        <v>4059</v>
      </c>
      <c r="L370" s="9" t="n">
        <v>0.15</v>
      </c>
      <c r="M370" s="8" t="n">
        <v>6838.62</v>
      </c>
      <c r="N370" s="8" t="n">
        <f aca="false">J370*K370*(1-L370)</f>
        <v>10350.45</v>
      </c>
      <c r="O370" s="8" t="n">
        <f aca="false">N370-M370</f>
        <v>3511.83</v>
      </c>
      <c r="P370" s="10" t="n">
        <f aca="false">IFERROR(O370/N370,0)</f>
        <v>0.339292494529223</v>
      </c>
      <c r="Q370" s="7" t="str">
        <f aca="false">TEXT(B370,"mmm")</f>
        <v>Jan</v>
      </c>
      <c r="R370" s="7" t="str">
        <f aca="false">TEXT(B370,"yyyy-mm")</f>
        <v>2024-01</v>
      </c>
    </row>
    <row r="371" customFormat="false" ht="15" hidden="false" customHeight="false" outlineLevel="0" collapsed="false">
      <c r="A371" s="7" t="s">
        <v>904</v>
      </c>
      <c r="B371" s="7" t="s">
        <v>883</v>
      </c>
      <c r="C371" s="7" t="s">
        <v>426</v>
      </c>
      <c r="D371" s="7" t="s">
        <v>144</v>
      </c>
      <c r="E371" s="7" t="s">
        <v>145</v>
      </c>
      <c r="F371" s="7" t="s">
        <v>48</v>
      </c>
      <c r="G371" s="7" t="s">
        <v>49</v>
      </c>
      <c r="H371" s="7" t="s">
        <v>50</v>
      </c>
      <c r="I371" s="7" t="s">
        <v>51</v>
      </c>
      <c r="J371" s="7" t="n">
        <v>5</v>
      </c>
      <c r="K371" s="8" t="n">
        <v>5149</v>
      </c>
      <c r="L371" s="9" t="n">
        <v>0.05</v>
      </c>
      <c r="M371" s="8" t="n">
        <v>10862.4</v>
      </c>
      <c r="N371" s="8" t="n">
        <f aca="false">J371*K371*(1-L371)</f>
        <v>24457.75</v>
      </c>
      <c r="O371" s="8" t="n">
        <f aca="false">N371-M371</f>
        <v>13595.35</v>
      </c>
      <c r="P371" s="10" t="n">
        <f aca="false">IFERROR(O371/N371,0)</f>
        <v>0.555870838486778</v>
      </c>
      <c r="Q371" s="7" t="str">
        <f aca="false">TEXT(B371,"mmm")</f>
        <v>Nov</v>
      </c>
      <c r="R371" s="7" t="str">
        <f aca="false">TEXT(B371,"yyyy-mm")</f>
        <v>2024-11</v>
      </c>
    </row>
    <row r="372" customFormat="false" ht="15" hidden="false" customHeight="false" outlineLevel="0" collapsed="false">
      <c r="A372" s="7" t="s">
        <v>905</v>
      </c>
      <c r="B372" s="7" t="s">
        <v>906</v>
      </c>
      <c r="C372" s="7" t="s">
        <v>153</v>
      </c>
      <c r="D372" s="7" t="s">
        <v>170</v>
      </c>
      <c r="E372" s="7" t="s">
        <v>171</v>
      </c>
      <c r="F372" s="7" t="s">
        <v>88</v>
      </c>
      <c r="G372" s="7" t="s">
        <v>65</v>
      </c>
      <c r="H372" s="7" t="s">
        <v>66</v>
      </c>
      <c r="I372" s="7" t="s">
        <v>51</v>
      </c>
      <c r="J372" s="7" t="n">
        <v>3</v>
      </c>
      <c r="K372" s="8" t="n">
        <v>5749</v>
      </c>
      <c r="L372" s="9" t="n">
        <v>0.05</v>
      </c>
      <c r="M372" s="8" t="n">
        <v>9473.13</v>
      </c>
      <c r="N372" s="8" t="n">
        <f aca="false">J372*K372*(1-L372)</f>
        <v>16384.65</v>
      </c>
      <c r="O372" s="8" t="n">
        <f aca="false">N372-M372</f>
        <v>6911.52</v>
      </c>
      <c r="P372" s="10" t="n">
        <f aca="false">IFERROR(O372/N372,0)</f>
        <v>0.421828967966969</v>
      </c>
      <c r="Q372" s="7" t="str">
        <f aca="false">TEXT(B372,"mmm")</f>
        <v>Nov</v>
      </c>
      <c r="R372" s="7" t="str">
        <f aca="false">TEXT(B372,"yyyy-mm")</f>
        <v>2024-11</v>
      </c>
    </row>
    <row r="373" customFormat="false" ht="15" hidden="false" customHeight="false" outlineLevel="0" collapsed="false">
      <c r="A373" s="7" t="s">
        <v>907</v>
      </c>
      <c r="B373" s="7" t="s">
        <v>352</v>
      </c>
      <c r="C373" s="7" t="s">
        <v>835</v>
      </c>
      <c r="D373" s="7" t="s">
        <v>441</v>
      </c>
      <c r="E373" s="7" t="s">
        <v>442</v>
      </c>
      <c r="F373" s="7" t="s">
        <v>64</v>
      </c>
      <c r="G373" s="7" t="s">
        <v>81</v>
      </c>
      <c r="H373" s="7" t="s">
        <v>237</v>
      </c>
      <c r="I373" s="7" t="s">
        <v>75</v>
      </c>
      <c r="J373" s="7" t="n">
        <v>4</v>
      </c>
      <c r="K373" s="8" t="n">
        <v>3349</v>
      </c>
      <c r="L373" s="9" t="n">
        <v>0.2</v>
      </c>
      <c r="M373" s="8" t="n">
        <v>8762.36</v>
      </c>
      <c r="N373" s="8" t="n">
        <f aca="false">J373*K373*(1-L373)</f>
        <v>10716.8</v>
      </c>
      <c r="O373" s="8" t="n">
        <f aca="false">N373-M373</f>
        <v>1954.44</v>
      </c>
      <c r="P373" s="10" t="n">
        <f aca="false">IFERROR(O373/N373,0)</f>
        <v>0.182371603463721</v>
      </c>
      <c r="Q373" s="7" t="str">
        <f aca="false">TEXT(B373,"mmm")</f>
        <v>Jan</v>
      </c>
      <c r="R373" s="7" t="str">
        <f aca="false">TEXT(B373,"yyyy-mm")</f>
        <v>2024-01</v>
      </c>
    </row>
    <row r="374" customFormat="false" ht="15" hidden="false" customHeight="false" outlineLevel="0" collapsed="false">
      <c r="A374" s="7" t="s">
        <v>908</v>
      </c>
      <c r="B374" s="7" t="s">
        <v>909</v>
      </c>
      <c r="C374" s="7" t="s">
        <v>659</v>
      </c>
      <c r="D374" s="7" t="s">
        <v>86</v>
      </c>
      <c r="E374" s="7" t="s">
        <v>87</v>
      </c>
      <c r="F374" s="7" t="s">
        <v>88</v>
      </c>
      <c r="G374" s="7" t="s">
        <v>49</v>
      </c>
      <c r="H374" s="7" t="s">
        <v>58</v>
      </c>
      <c r="I374" s="7" t="s">
        <v>51</v>
      </c>
      <c r="J374" s="7" t="n">
        <v>4</v>
      </c>
      <c r="K374" s="8" t="n">
        <v>3719</v>
      </c>
      <c r="L374" s="9" t="n">
        <v>0.05</v>
      </c>
      <c r="M374" s="8" t="n">
        <v>5901.48</v>
      </c>
      <c r="N374" s="8" t="n">
        <f aca="false">J374*K374*(1-L374)</f>
        <v>14132.2</v>
      </c>
      <c r="O374" s="8" t="n">
        <f aca="false">N374-M374</f>
        <v>8230.72</v>
      </c>
      <c r="P374" s="10" t="n">
        <f aca="false">IFERROR(O374/N374,0)</f>
        <v>0.582408966756768</v>
      </c>
      <c r="Q374" s="7" t="str">
        <f aca="false">TEXT(B374,"mmm")</f>
        <v>Feb</v>
      </c>
      <c r="R374" s="7" t="str">
        <f aca="false">TEXT(B374,"yyyy-mm")</f>
        <v>2024-02</v>
      </c>
    </row>
    <row r="375" customFormat="false" ht="15" hidden="false" customHeight="false" outlineLevel="0" collapsed="false">
      <c r="A375" s="7" t="s">
        <v>910</v>
      </c>
      <c r="B375" s="7" t="s">
        <v>501</v>
      </c>
      <c r="C375" s="7" t="s">
        <v>139</v>
      </c>
      <c r="D375" s="7" t="s">
        <v>124</v>
      </c>
      <c r="E375" s="7" t="s">
        <v>125</v>
      </c>
      <c r="F375" s="7" t="s">
        <v>64</v>
      </c>
      <c r="G375" s="7" t="s">
        <v>73</v>
      </c>
      <c r="H375" s="7" t="s">
        <v>115</v>
      </c>
      <c r="I375" s="7" t="s">
        <v>51</v>
      </c>
      <c r="J375" s="7" t="n">
        <v>3</v>
      </c>
      <c r="K375" s="8" t="n">
        <v>1349</v>
      </c>
      <c r="L375" s="9" t="n">
        <v>0</v>
      </c>
      <c r="M375" s="8" t="n">
        <v>2092.2</v>
      </c>
      <c r="N375" s="8" t="n">
        <f aca="false">J375*K375*(1-L375)</f>
        <v>4047</v>
      </c>
      <c r="O375" s="8" t="n">
        <f aca="false">N375-M375</f>
        <v>1954.8</v>
      </c>
      <c r="P375" s="10" t="n">
        <f aca="false">IFERROR(O375/N375,0)</f>
        <v>0.483024462564863</v>
      </c>
      <c r="Q375" s="7" t="str">
        <f aca="false">TEXT(B375,"mmm")</f>
        <v>Jun</v>
      </c>
      <c r="R375" s="7" t="str">
        <f aca="false">TEXT(B375,"yyyy-mm")</f>
        <v>2024-06</v>
      </c>
    </row>
    <row r="376" customFormat="false" ht="15" hidden="false" customHeight="false" outlineLevel="0" collapsed="false">
      <c r="A376" s="7" t="s">
        <v>911</v>
      </c>
      <c r="B376" s="7" t="s">
        <v>912</v>
      </c>
      <c r="C376" s="7" t="s">
        <v>835</v>
      </c>
      <c r="D376" s="7" t="s">
        <v>176</v>
      </c>
      <c r="E376" s="7" t="s">
        <v>177</v>
      </c>
      <c r="F376" s="7" t="s">
        <v>72</v>
      </c>
      <c r="G376" s="7" t="s">
        <v>81</v>
      </c>
      <c r="H376" s="7" t="s">
        <v>186</v>
      </c>
      <c r="I376" s="7" t="s">
        <v>75</v>
      </c>
      <c r="J376" s="7" t="n">
        <v>6</v>
      </c>
      <c r="K376" s="8" t="n">
        <v>3969</v>
      </c>
      <c r="L376" s="9" t="n">
        <v>0</v>
      </c>
      <c r="M376" s="8" t="n">
        <v>12887.82</v>
      </c>
      <c r="N376" s="8" t="n">
        <f aca="false">J376*K376*(1-L376)</f>
        <v>23814</v>
      </c>
      <c r="O376" s="8" t="n">
        <f aca="false">N376-M376</f>
        <v>10926.18</v>
      </c>
      <c r="P376" s="10" t="n">
        <f aca="false">IFERROR(O376/N376,0)</f>
        <v>0.458813303099017</v>
      </c>
      <c r="Q376" s="7" t="str">
        <f aca="false">TEXT(B376,"mmm")</f>
        <v>Jan</v>
      </c>
      <c r="R376" s="7" t="str">
        <f aca="false">TEXT(B376,"yyyy-mm")</f>
        <v>2024-01</v>
      </c>
    </row>
    <row r="377" customFormat="false" ht="15" hidden="false" customHeight="false" outlineLevel="0" collapsed="false">
      <c r="A377" s="7" t="s">
        <v>913</v>
      </c>
      <c r="B377" s="7" t="s">
        <v>143</v>
      </c>
      <c r="C377" s="7" t="s">
        <v>191</v>
      </c>
      <c r="D377" s="7" t="s">
        <v>140</v>
      </c>
      <c r="E377" s="7" t="s">
        <v>141</v>
      </c>
      <c r="F377" s="7" t="s">
        <v>57</v>
      </c>
      <c r="G377" s="7" t="s">
        <v>65</v>
      </c>
      <c r="H377" s="7" t="s">
        <v>66</v>
      </c>
      <c r="I377" s="7" t="s">
        <v>51</v>
      </c>
      <c r="J377" s="7" t="n">
        <v>2</v>
      </c>
      <c r="K377" s="8" t="n">
        <v>1440</v>
      </c>
      <c r="L377" s="9" t="n">
        <v>0.2</v>
      </c>
      <c r="M377" s="8" t="n">
        <v>1940.78</v>
      </c>
      <c r="N377" s="8" t="n">
        <f aca="false">J377*K377*(1-L377)</f>
        <v>2304</v>
      </c>
      <c r="O377" s="8" t="n">
        <f aca="false">N377-M377</f>
        <v>363.22</v>
      </c>
      <c r="P377" s="10" t="n">
        <f aca="false">IFERROR(O377/N377,0)</f>
        <v>0.157647569444444</v>
      </c>
      <c r="Q377" s="7" t="str">
        <f aca="false">TEXT(B377,"mmm")</f>
        <v>Jul</v>
      </c>
      <c r="R377" s="7" t="str">
        <f aca="false">TEXT(B377,"yyyy-mm")</f>
        <v>2024-07</v>
      </c>
    </row>
    <row r="378" customFormat="false" ht="15" hidden="false" customHeight="false" outlineLevel="0" collapsed="false">
      <c r="A378" s="7" t="s">
        <v>914</v>
      </c>
      <c r="B378" s="7" t="s">
        <v>820</v>
      </c>
      <c r="C378" s="7" t="s">
        <v>278</v>
      </c>
      <c r="D378" s="7" t="s">
        <v>79</v>
      </c>
      <c r="E378" s="7" t="s">
        <v>80</v>
      </c>
      <c r="F378" s="7" t="s">
        <v>72</v>
      </c>
      <c r="G378" s="7" t="s">
        <v>73</v>
      </c>
      <c r="H378" s="7" t="s">
        <v>211</v>
      </c>
      <c r="I378" s="7" t="s">
        <v>75</v>
      </c>
      <c r="J378" s="7" t="n">
        <v>2</v>
      </c>
      <c r="K378" s="8" t="n">
        <v>4769</v>
      </c>
      <c r="L378" s="9" t="n">
        <v>0</v>
      </c>
      <c r="M378" s="8" t="n">
        <v>5449.62</v>
      </c>
      <c r="N378" s="8" t="n">
        <f aca="false">J378*K378*(1-L378)</f>
        <v>9538</v>
      </c>
      <c r="O378" s="8" t="n">
        <f aca="false">N378-M378</f>
        <v>4088.38</v>
      </c>
      <c r="P378" s="10" t="n">
        <f aca="false">IFERROR(O378/N378,0)</f>
        <v>0.428641224575383</v>
      </c>
      <c r="Q378" s="7" t="str">
        <f aca="false">TEXT(B378,"mmm")</f>
        <v>Aug</v>
      </c>
      <c r="R378" s="7" t="str">
        <f aca="false">TEXT(B378,"yyyy-mm")</f>
        <v>2024-08</v>
      </c>
    </row>
    <row r="379" customFormat="false" ht="15" hidden="false" customHeight="false" outlineLevel="0" collapsed="false">
      <c r="A379" s="7" t="s">
        <v>915</v>
      </c>
      <c r="B379" s="7" t="s">
        <v>916</v>
      </c>
      <c r="C379" s="7" t="s">
        <v>302</v>
      </c>
      <c r="D379" s="7" t="s">
        <v>162</v>
      </c>
      <c r="E379" s="7" t="s">
        <v>163</v>
      </c>
      <c r="F379" s="7" t="s">
        <v>57</v>
      </c>
      <c r="G379" s="7" t="s">
        <v>65</v>
      </c>
      <c r="H379" s="7" t="s">
        <v>66</v>
      </c>
      <c r="I379" s="7" t="s">
        <v>75</v>
      </c>
      <c r="J379" s="7" t="n">
        <v>3</v>
      </c>
      <c r="K379" s="8" t="n">
        <v>4629</v>
      </c>
      <c r="L379" s="9" t="n">
        <v>0.2</v>
      </c>
      <c r="M379" s="8" t="n">
        <v>6090.51</v>
      </c>
      <c r="N379" s="8" t="n">
        <f aca="false">J379*K379*(1-L379)</f>
        <v>11109.6</v>
      </c>
      <c r="O379" s="8" t="n">
        <f aca="false">N379-M379</f>
        <v>5019.09</v>
      </c>
      <c r="P379" s="10" t="n">
        <f aca="false">IFERROR(O379/N379,0)</f>
        <v>0.451779542017714</v>
      </c>
      <c r="Q379" s="7" t="str">
        <f aca="false">TEXT(B379,"mmm")</f>
        <v>Sep</v>
      </c>
      <c r="R379" s="7" t="str">
        <f aca="false">TEXT(B379,"yyyy-mm")</f>
        <v>2024-09</v>
      </c>
    </row>
    <row r="380" customFormat="false" ht="15" hidden="false" customHeight="false" outlineLevel="0" collapsed="false">
      <c r="A380" s="7" t="s">
        <v>917</v>
      </c>
      <c r="B380" s="7" t="s">
        <v>918</v>
      </c>
      <c r="C380" s="7" t="s">
        <v>895</v>
      </c>
      <c r="D380" s="7" t="s">
        <v>144</v>
      </c>
      <c r="E380" s="7" t="s">
        <v>145</v>
      </c>
      <c r="F380" s="7" t="s">
        <v>48</v>
      </c>
      <c r="G380" s="7" t="s">
        <v>81</v>
      </c>
      <c r="H380" s="7" t="s">
        <v>186</v>
      </c>
      <c r="I380" s="7" t="s">
        <v>75</v>
      </c>
      <c r="J380" s="7" t="n">
        <v>8</v>
      </c>
      <c r="K380" s="8" t="n">
        <v>5149</v>
      </c>
      <c r="L380" s="9" t="n">
        <v>0.25</v>
      </c>
      <c r="M380" s="8" t="n">
        <v>17379.84</v>
      </c>
      <c r="N380" s="8" t="n">
        <f aca="false">J380*K380*(1-L380)</f>
        <v>30894</v>
      </c>
      <c r="O380" s="8" t="n">
        <f aca="false">N380-M380</f>
        <v>13514.16</v>
      </c>
      <c r="P380" s="10" t="n">
        <f aca="false">IFERROR(O380/N380,0)</f>
        <v>0.437436395416586</v>
      </c>
      <c r="Q380" s="7" t="str">
        <f aca="false">TEXT(B380,"mmm")</f>
        <v>Oct</v>
      </c>
      <c r="R380" s="7" t="str">
        <f aca="false">TEXT(B380,"yyyy-mm")</f>
        <v>2024-10</v>
      </c>
    </row>
    <row r="381" customFormat="false" ht="15" hidden="false" customHeight="false" outlineLevel="0" collapsed="false">
      <c r="A381" s="7" t="s">
        <v>919</v>
      </c>
      <c r="B381" s="7" t="s">
        <v>873</v>
      </c>
      <c r="C381" s="7" t="s">
        <v>920</v>
      </c>
      <c r="D381" s="7" t="s">
        <v>154</v>
      </c>
      <c r="E381" s="7" t="s">
        <v>155</v>
      </c>
      <c r="F381" s="7" t="s">
        <v>57</v>
      </c>
      <c r="G381" s="7" t="s">
        <v>65</v>
      </c>
      <c r="H381" s="7" t="s">
        <v>217</v>
      </c>
      <c r="I381" s="7" t="s">
        <v>51</v>
      </c>
      <c r="J381" s="7" t="n">
        <v>1</v>
      </c>
      <c r="K381" s="8" t="n">
        <v>2949</v>
      </c>
      <c r="L381" s="9" t="n">
        <v>0.1</v>
      </c>
      <c r="M381" s="8" t="n">
        <v>1555.39</v>
      </c>
      <c r="N381" s="8" t="n">
        <f aca="false">J381*K381*(1-L381)</f>
        <v>2654.1</v>
      </c>
      <c r="O381" s="8" t="n">
        <f aca="false">N381-M381</f>
        <v>1098.71</v>
      </c>
      <c r="P381" s="10" t="n">
        <f aca="false">IFERROR(O381/N381,0)</f>
        <v>0.41396706981651</v>
      </c>
      <c r="Q381" s="7" t="str">
        <f aca="false">TEXT(B381,"mmm")</f>
        <v>Jun</v>
      </c>
      <c r="R381" s="7" t="str">
        <f aca="false">TEXT(B381,"yyyy-mm")</f>
        <v>2024-06</v>
      </c>
    </row>
    <row r="382" customFormat="false" ht="15" hidden="false" customHeight="false" outlineLevel="0" collapsed="false">
      <c r="A382" s="7" t="s">
        <v>921</v>
      </c>
      <c r="B382" s="7" t="s">
        <v>669</v>
      </c>
      <c r="C382" s="7" t="s">
        <v>78</v>
      </c>
      <c r="D382" s="7" t="s">
        <v>201</v>
      </c>
      <c r="E382" s="7" t="s">
        <v>202</v>
      </c>
      <c r="F382" s="7" t="s">
        <v>72</v>
      </c>
      <c r="G382" s="7" t="s">
        <v>81</v>
      </c>
      <c r="H382" s="7" t="s">
        <v>82</v>
      </c>
      <c r="I382" s="7" t="s">
        <v>51</v>
      </c>
      <c r="J382" s="7" t="n">
        <v>6</v>
      </c>
      <c r="K382" s="8" t="n">
        <v>3990</v>
      </c>
      <c r="L382" s="9" t="n">
        <v>0.2</v>
      </c>
      <c r="M382" s="8" t="n">
        <v>18201.66</v>
      </c>
      <c r="N382" s="8" t="n">
        <f aca="false">J382*K382*(1-L382)</f>
        <v>19152</v>
      </c>
      <c r="O382" s="8" t="n">
        <f aca="false">N382-M382</f>
        <v>950.34</v>
      </c>
      <c r="P382" s="10" t="n">
        <f aca="false">IFERROR(O382/N382,0)</f>
        <v>0.0496209273182957</v>
      </c>
      <c r="Q382" s="7" t="str">
        <f aca="false">TEXT(B382,"mmm")</f>
        <v>Apr</v>
      </c>
      <c r="R382" s="7" t="str">
        <f aca="false">TEXT(B382,"yyyy-mm")</f>
        <v>2024-04</v>
      </c>
    </row>
    <row r="383" customFormat="false" ht="15" hidden="false" customHeight="false" outlineLevel="0" collapsed="false">
      <c r="A383" s="7" t="s">
        <v>922</v>
      </c>
      <c r="B383" s="7" t="s">
        <v>779</v>
      </c>
      <c r="C383" s="7" t="s">
        <v>603</v>
      </c>
      <c r="D383" s="7" t="s">
        <v>62</v>
      </c>
      <c r="E383" s="7" t="s">
        <v>63</v>
      </c>
      <c r="F383" s="7" t="s">
        <v>64</v>
      </c>
      <c r="G383" s="7" t="s">
        <v>81</v>
      </c>
      <c r="H383" s="7" t="s">
        <v>237</v>
      </c>
      <c r="I383" s="7" t="s">
        <v>51</v>
      </c>
      <c r="J383" s="7" t="n">
        <v>8</v>
      </c>
      <c r="K383" s="8" t="n">
        <v>7079</v>
      </c>
      <c r="L383" s="9" t="n">
        <v>0.15</v>
      </c>
      <c r="M383" s="8" t="n">
        <v>21918.24</v>
      </c>
      <c r="N383" s="8" t="n">
        <f aca="false">J383*K383*(1-L383)</f>
        <v>48137.2</v>
      </c>
      <c r="O383" s="8" t="n">
        <f aca="false">N383-M383</f>
        <v>26218.96</v>
      </c>
      <c r="P383" s="10" t="n">
        <f aca="false">IFERROR(O383/N383,0)</f>
        <v>0.544671480684377</v>
      </c>
      <c r="Q383" s="7" t="str">
        <f aca="false">TEXT(B383,"mmm")</f>
        <v>Oct</v>
      </c>
      <c r="R383" s="7" t="str">
        <f aca="false">TEXT(B383,"yyyy-mm")</f>
        <v>2024-10</v>
      </c>
    </row>
    <row r="384" customFormat="false" ht="15" hidden="false" customHeight="false" outlineLevel="0" collapsed="false">
      <c r="A384" s="7" t="s">
        <v>923</v>
      </c>
      <c r="B384" s="7" t="s">
        <v>890</v>
      </c>
      <c r="C384" s="7" t="s">
        <v>924</v>
      </c>
      <c r="D384" s="7" t="s">
        <v>144</v>
      </c>
      <c r="E384" s="7" t="s">
        <v>145</v>
      </c>
      <c r="F384" s="7" t="s">
        <v>48</v>
      </c>
      <c r="G384" s="7" t="s">
        <v>49</v>
      </c>
      <c r="H384" s="7" t="s">
        <v>100</v>
      </c>
      <c r="I384" s="7" t="s">
        <v>51</v>
      </c>
      <c r="J384" s="7" t="n">
        <v>3</v>
      </c>
      <c r="K384" s="8" t="n">
        <v>5149</v>
      </c>
      <c r="L384" s="9" t="n">
        <v>0.25</v>
      </c>
      <c r="M384" s="8" t="n">
        <v>6517.44</v>
      </c>
      <c r="N384" s="8" t="n">
        <f aca="false">J384*K384*(1-L384)</f>
        <v>11585.25</v>
      </c>
      <c r="O384" s="8" t="n">
        <f aca="false">N384-M384</f>
        <v>5067.81</v>
      </c>
      <c r="P384" s="10" t="n">
        <f aca="false">IFERROR(O384/N384,0)</f>
        <v>0.437436395416586</v>
      </c>
      <c r="Q384" s="7" t="str">
        <f aca="false">TEXT(B384,"mmm")</f>
        <v>Apr</v>
      </c>
      <c r="R384" s="7" t="str">
        <f aca="false">TEXT(B384,"yyyy-mm")</f>
        <v>2024-04</v>
      </c>
    </row>
    <row r="385" customFormat="false" ht="15" hidden="false" customHeight="false" outlineLevel="0" collapsed="false">
      <c r="A385" s="7" t="s">
        <v>925</v>
      </c>
      <c r="B385" s="7" t="s">
        <v>783</v>
      </c>
      <c r="C385" s="7" t="s">
        <v>278</v>
      </c>
      <c r="D385" s="7" t="s">
        <v>244</v>
      </c>
      <c r="E385" s="7" t="s">
        <v>245</v>
      </c>
      <c r="F385" s="7" t="s">
        <v>88</v>
      </c>
      <c r="G385" s="7" t="s">
        <v>65</v>
      </c>
      <c r="H385" s="7" t="s">
        <v>66</v>
      </c>
      <c r="I385" s="7" t="s">
        <v>51</v>
      </c>
      <c r="J385" s="7" t="n">
        <v>3</v>
      </c>
      <c r="K385" s="8" t="n">
        <v>5319</v>
      </c>
      <c r="L385" s="9" t="n">
        <v>0.15</v>
      </c>
      <c r="M385" s="8" t="n">
        <v>9257.49</v>
      </c>
      <c r="N385" s="8" t="n">
        <f aca="false">J385*K385*(1-L385)</f>
        <v>13563.45</v>
      </c>
      <c r="O385" s="8" t="n">
        <f aca="false">N385-M385</f>
        <v>4305.96</v>
      </c>
      <c r="P385" s="10" t="n">
        <f aca="false">IFERROR(O385/N385,0)</f>
        <v>0.31746790086593</v>
      </c>
      <c r="Q385" s="7" t="str">
        <f aca="false">TEXT(B385,"mmm")</f>
        <v>Jan</v>
      </c>
      <c r="R385" s="7" t="str">
        <f aca="false">TEXT(B385,"yyyy-mm")</f>
        <v>2024-01</v>
      </c>
    </row>
    <row r="386" customFormat="false" ht="15" hidden="false" customHeight="false" outlineLevel="0" collapsed="false">
      <c r="A386" s="7" t="s">
        <v>926</v>
      </c>
      <c r="B386" s="7" t="s">
        <v>829</v>
      </c>
      <c r="C386" s="7" t="s">
        <v>747</v>
      </c>
      <c r="D386" s="7" t="s">
        <v>55</v>
      </c>
      <c r="E386" s="7" t="s">
        <v>56</v>
      </c>
      <c r="F386" s="7" t="s">
        <v>57</v>
      </c>
      <c r="G386" s="7" t="s">
        <v>81</v>
      </c>
      <c r="H386" s="7" t="s">
        <v>186</v>
      </c>
      <c r="I386" s="7" t="s">
        <v>75</v>
      </c>
      <c r="J386" s="7" t="n">
        <v>5</v>
      </c>
      <c r="K386" s="8" t="n">
        <v>2850</v>
      </c>
      <c r="L386" s="9" t="n">
        <v>0</v>
      </c>
      <c r="M386" s="8" t="n">
        <v>10640.75</v>
      </c>
      <c r="N386" s="8" t="n">
        <f aca="false">J386*K386*(1-L386)</f>
        <v>14250</v>
      </c>
      <c r="O386" s="8" t="n">
        <f aca="false">N386-M386</f>
        <v>3609.25</v>
      </c>
      <c r="P386" s="10" t="n">
        <f aca="false">IFERROR(O386/N386,0)</f>
        <v>0.253280701754386</v>
      </c>
      <c r="Q386" s="7" t="str">
        <f aca="false">TEXT(B386,"mmm")</f>
        <v>Jan</v>
      </c>
      <c r="R386" s="7" t="str">
        <f aca="false">TEXT(B386,"yyyy-mm")</f>
        <v>2024-01</v>
      </c>
    </row>
    <row r="387" customFormat="false" ht="15" hidden="false" customHeight="false" outlineLevel="0" collapsed="false">
      <c r="A387" s="7" t="s">
        <v>927</v>
      </c>
      <c r="B387" s="7" t="s">
        <v>698</v>
      </c>
      <c r="C387" s="7" t="s">
        <v>256</v>
      </c>
      <c r="D387" s="7" t="s">
        <v>144</v>
      </c>
      <c r="E387" s="7" t="s">
        <v>145</v>
      </c>
      <c r="F387" s="7" t="s">
        <v>48</v>
      </c>
      <c r="G387" s="7" t="s">
        <v>81</v>
      </c>
      <c r="H387" s="7" t="s">
        <v>82</v>
      </c>
      <c r="I387" s="7" t="s">
        <v>51</v>
      </c>
      <c r="J387" s="7" t="n">
        <v>5</v>
      </c>
      <c r="K387" s="8" t="n">
        <v>5149</v>
      </c>
      <c r="L387" s="9" t="n">
        <v>0.1</v>
      </c>
      <c r="M387" s="8" t="n">
        <v>10862.4</v>
      </c>
      <c r="N387" s="8" t="n">
        <f aca="false">J387*K387*(1-L387)</f>
        <v>23170.5</v>
      </c>
      <c r="O387" s="8" t="n">
        <f aca="false">N387-M387</f>
        <v>12308.1</v>
      </c>
      <c r="P387" s="10" t="n">
        <f aca="false">IFERROR(O387/N387,0)</f>
        <v>0.531196996180488</v>
      </c>
      <c r="Q387" s="7" t="str">
        <f aca="false">TEXT(B387,"mmm")</f>
        <v>Nov</v>
      </c>
      <c r="R387" s="7" t="str">
        <f aca="false">TEXT(B387,"yyyy-mm")</f>
        <v>2024-11</v>
      </c>
    </row>
    <row r="388" customFormat="false" ht="15" hidden="false" customHeight="false" outlineLevel="0" collapsed="false">
      <c r="A388" s="7" t="s">
        <v>928</v>
      </c>
      <c r="B388" s="7" t="s">
        <v>929</v>
      </c>
      <c r="C388" s="7" t="s">
        <v>930</v>
      </c>
      <c r="D388" s="7" t="s">
        <v>95</v>
      </c>
      <c r="E388" s="7" t="s">
        <v>96</v>
      </c>
      <c r="F388" s="7" t="s">
        <v>48</v>
      </c>
      <c r="G388" s="7" t="s">
        <v>73</v>
      </c>
      <c r="H388" s="7" t="s">
        <v>211</v>
      </c>
      <c r="I388" s="7" t="s">
        <v>75</v>
      </c>
      <c r="J388" s="7" t="n">
        <v>4</v>
      </c>
      <c r="K388" s="8" t="n">
        <v>5529</v>
      </c>
      <c r="L388" s="9" t="n">
        <v>0.15</v>
      </c>
      <c r="M388" s="8" t="n">
        <v>12465.04</v>
      </c>
      <c r="N388" s="8" t="n">
        <f aca="false">J388*K388*(1-L388)</f>
        <v>18798.6</v>
      </c>
      <c r="O388" s="8" t="n">
        <f aca="false">N388-M388</f>
        <v>6333.56</v>
      </c>
      <c r="P388" s="10" t="n">
        <f aca="false">IFERROR(O388/N388,0)</f>
        <v>0.336916578894173</v>
      </c>
      <c r="Q388" s="7" t="str">
        <f aca="false">TEXT(B388,"mmm")</f>
        <v>May</v>
      </c>
      <c r="R388" s="7" t="str">
        <f aca="false">TEXT(B388,"yyyy-mm")</f>
        <v>2024-05</v>
      </c>
    </row>
    <row r="389" customFormat="false" ht="15" hidden="false" customHeight="false" outlineLevel="0" collapsed="false">
      <c r="A389" s="7" t="s">
        <v>931</v>
      </c>
      <c r="B389" s="7" t="s">
        <v>932</v>
      </c>
      <c r="C389" s="7" t="s">
        <v>129</v>
      </c>
      <c r="D389" s="7" t="s">
        <v>549</v>
      </c>
      <c r="E389" s="7" t="s">
        <v>550</v>
      </c>
      <c r="F389" s="7" t="s">
        <v>48</v>
      </c>
      <c r="G389" s="7" t="s">
        <v>81</v>
      </c>
      <c r="H389" s="7" t="s">
        <v>82</v>
      </c>
      <c r="I389" s="7" t="s">
        <v>75</v>
      </c>
      <c r="J389" s="7" t="n">
        <v>2</v>
      </c>
      <c r="K389" s="8" t="n">
        <v>3419</v>
      </c>
      <c r="L389" s="9" t="n">
        <v>0.05</v>
      </c>
      <c r="M389" s="8" t="n">
        <v>5020.64</v>
      </c>
      <c r="N389" s="8" t="n">
        <f aca="false">J389*K389*(1-L389)</f>
        <v>6496.1</v>
      </c>
      <c r="O389" s="8" t="n">
        <f aca="false">N389-M389</f>
        <v>1475.46</v>
      </c>
      <c r="P389" s="10" t="n">
        <f aca="false">IFERROR(O389/N389,0)</f>
        <v>0.227130124228383</v>
      </c>
      <c r="Q389" s="7" t="str">
        <f aca="false">TEXT(B389,"mmm")</f>
        <v>Sep</v>
      </c>
      <c r="R389" s="7" t="str">
        <f aca="false">TEXT(B389,"yyyy-mm")</f>
        <v>2024-09</v>
      </c>
    </row>
    <row r="390" customFormat="false" ht="15" hidden="false" customHeight="false" outlineLevel="0" collapsed="false">
      <c r="A390" s="7" t="s">
        <v>933</v>
      </c>
      <c r="B390" s="7" t="s">
        <v>934</v>
      </c>
      <c r="C390" s="7" t="s">
        <v>935</v>
      </c>
      <c r="D390" s="7" t="s">
        <v>46</v>
      </c>
      <c r="E390" s="7" t="s">
        <v>47</v>
      </c>
      <c r="F390" s="7" t="s">
        <v>48</v>
      </c>
      <c r="G390" s="7" t="s">
        <v>81</v>
      </c>
      <c r="H390" s="7" t="s">
        <v>186</v>
      </c>
      <c r="I390" s="7" t="s">
        <v>51</v>
      </c>
      <c r="J390" s="7" t="n">
        <v>3</v>
      </c>
      <c r="K390" s="8" t="n">
        <v>4349</v>
      </c>
      <c r="L390" s="9" t="n">
        <v>0</v>
      </c>
      <c r="M390" s="8" t="n">
        <v>7466.31</v>
      </c>
      <c r="N390" s="8" t="n">
        <f aca="false">J390*K390*(1-L390)</f>
        <v>13047</v>
      </c>
      <c r="O390" s="8" t="n">
        <f aca="false">N390-M390</f>
        <v>5580.69</v>
      </c>
      <c r="P390" s="10" t="n">
        <f aca="false">IFERROR(O390/N390,0)</f>
        <v>0.427737410899057</v>
      </c>
      <c r="Q390" s="7" t="str">
        <f aca="false">TEXT(B390,"mmm")</f>
        <v>Mar</v>
      </c>
      <c r="R390" s="7" t="str">
        <f aca="false">TEXT(B390,"yyyy-mm")</f>
        <v>2024-03</v>
      </c>
    </row>
    <row r="391" customFormat="false" ht="15" hidden="false" customHeight="false" outlineLevel="0" collapsed="false">
      <c r="A391" s="7" t="s">
        <v>936</v>
      </c>
      <c r="B391" s="7" t="s">
        <v>937</v>
      </c>
      <c r="C391" s="7" t="s">
        <v>129</v>
      </c>
      <c r="D391" s="7" t="s">
        <v>162</v>
      </c>
      <c r="E391" s="7" t="s">
        <v>163</v>
      </c>
      <c r="F391" s="7" t="s">
        <v>57</v>
      </c>
      <c r="G391" s="7" t="s">
        <v>73</v>
      </c>
      <c r="H391" s="7" t="s">
        <v>115</v>
      </c>
      <c r="I391" s="7" t="s">
        <v>51</v>
      </c>
      <c r="J391" s="7" t="n">
        <v>6</v>
      </c>
      <c r="K391" s="8" t="n">
        <v>4629</v>
      </c>
      <c r="L391" s="9" t="n">
        <v>0</v>
      </c>
      <c r="M391" s="8" t="n">
        <v>12181.02</v>
      </c>
      <c r="N391" s="8" t="n">
        <f aca="false">J391*K391*(1-L391)</f>
        <v>27774</v>
      </c>
      <c r="O391" s="8" t="n">
        <f aca="false">N391-M391</f>
        <v>15592.98</v>
      </c>
      <c r="P391" s="10" t="n">
        <f aca="false">IFERROR(O391/N391,0)</f>
        <v>0.561423633614172</v>
      </c>
      <c r="Q391" s="7" t="str">
        <f aca="false">TEXT(B391,"mmm")</f>
        <v>May</v>
      </c>
      <c r="R391" s="7" t="str">
        <f aca="false">TEXT(B391,"yyyy-mm")</f>
        <v>2024-05</v>
      </c>
    </row>
    <row r="392" customFormat="false" ht="15" hidden="false" customHeight="false" outlineLevel="0" collapsed="false">
      <c r="A392" s="7" t="s">
        <v>938</v>
      </c>
      <c r="B392" s="7" t="s">
        <v>469</v>
      </c>
      <c r="C392" s="7" t="s">
        <v>294</v>
      </c>
      <c r="D392" s="7" t="s">
        <v>86</v>
      </c>
      <c r="E392" s="7" t="s">
        <v>87</v>
      </c>
      <c r="F392" s="7" t="s">
        <v>88</v>
      </c>
      <c r="G392" s="7" t="s">
        <v>73</v>
      </c>
      <c r="H392" s="7" t="s">
        <v>115</v>
      </c>
      <c r="I392" s="7" t="s">
        <v>51</v>
      </c>
      <c r="J392" s="7" t="n">
        <v>8</v>
      </c>
      <c r="K392" s="8" t="n">
        <v>3719</v>
      </c>
      <c r="L392" s="9" t="n">
        <v>0</v>
      </c>
      <c r="M392" s="8" t="n">
        <v>11802.96</v>
      </c>
      <c r="N392" s="8" t="n">
        <f aca="false">J392*K392*(1-L392)</f>
        <v>29752</v>
      </c>
      <c r="O392" s="8" t="n">
        <f aca="false">N392-M392</f>
        <v>17949.04</v>
      </c>
      <c r="P392" s="10" t="n">
        <f aca="false">IFERROR(O392/N392,0)</f>
        <v>0.60328851841893</v>
      </c>
      <c r="Q392" s="7" t="str">
        <f aca="false">TEXT(B392,"mmm")</f>
        <v>Nov</v>
      </c>
      <c r="R392" s="7" t="str">
        <f aca="false">TEXT(B392,"yyyy-mm")</f>
        <v>2024-11</v>
      </c>
    </row>
    <row r="393" customFormat="false" ht="15" hidden="false" customHeight="false" outlineLevel="0" collapsed="false">
      <c r="A393" s="7" t="s">
        <v>939</v>
      </c>
      <c r="B393" s="7" t="s">
        <v>851</v>
      </c>
      <c r="C393" s="7" t="s">
        <v>108</v>
      </c>
      <c r="D393" s="7" t="s">
        <v>360</v>
      </c>
      <c r="E393" s="7" t="s">
        <v>361</v>
      </c>
      <c r="F393" s="7" t="s">
        <v>48</v>
      </c>
      <c r="G393" s="7" t="s">
        <v>73</v>
      </c>
      <c r="H393" s="7" t="s">
        <v>115</v>
      </c>
      <c r="I393" s="7" t="s">
        <v>75</v>
      </c>
      <c r="J393" s="7" t="n">
        <v>5</v>
      </c>
      <c r="K393" s="8" t="n">
        <v>679</v>
      </c>
      <c r="L393" s="9" t="n">
        <v>0.25</v>
      </c>
      <c r="M393" s="8" t="n">
        <v>2303.5</v>
      </c>
      <c r="N393" s="8" t="n">
        <f aca="false">J393*K393*(1-L393)</f>
        <v>2546.25</v>
      </c>
      <c r="O393" s="8" t="n">
        <f aca="false">N393-M393</f>
        <v>242.75</v>
      </c>
      <c r="P393" s="10" t="n">
        <f aca="false">IFERROR(O393/N393,0)</f>
        <v>0.0953362788414335</v>
      </c>
      <c r="Q393" s="7" t="str">
        <f aca="false">TEXT(B393,"mmm")</f>
        <v>Feb</v>
      </c>
      <c r="R393" s="7" t="str">
        <f aca="false">TEXT(B393,"yyyy-mm")</f>
        <v>2024-02</v>
      </c>
    </row>
    <row r="394" customFormat="false" ht="15" hidden="false" customHeight="false" outlineLevel="0" collapsed="false">
      <c r="A394" s="7" t="s">
        <v>940</v>
      </c>
      <c r="B394" s="7" t="s">
        <v>916</v>
      </c>
      <c r="C394" s="7" t="s">
        <v>941</v>
      </c>
      <c r="D394" s="7" t="s">
        <v>154</v>
      </c>
      <c r="E394" s="7" t="s">
        <v>155</v>
      </c>
      <c r="F394" s="7" t="s">
        <v>57</v>
      </c>
      <c r="G394" s="7" t="s">
        <v>73</v>
      </c>
      <c r="H394" s="7" t="s">
        <v>266</v>
      </c>
      <c r="I394" s="7" t="s">
        <v>75</v>
      </c>
      <c r="J394" s="7" t="n">
        <v>8</v>
      </c>
      <c r="K394" s="8" t="n">
        <v>2949</v>
      </c>
      <c r="L394" s="9" t="n">
        <v>0.25</v>
      </c>
      <c r="M394" s="8" t="n">
        <v>12443.12</v>
      </c>
      <c r="N394" s="8" t="n">
        <f aca="false">J394*K394*(1-L394)</f>
        <v>17694</v>
      </c>
      <c r="O394" s="8" t="n">
        <f aca="false">N394-M394</f>
        <v>5250.88</v>
      </c>
      <c r="P394" s="10" t="n">
        <f aca="false">IFERROR(O394/N394,0)</f>
        <v>0.296760483779812</v>
      </c>
      <c r="Q394" s="7" t="str">
        <f aca="false">TEXT(B394,"mmm")</f>
        <v>Sep</v>
      </c>
      <c r="R394" s="7" t="str">
        <f aca="false">TEXT(B394,"yyyy-mm")</f>
        <v>2024-09</v>
      </c>
    </row>
    <row r="395" customFormat="false" ht="15" hidden="false" customHeight="false" outlineLevel="0" collapsed="false">
      <c r="A395" s="7" t="s">
        <v>942</v>
      </c>
      <c r="B395" s="7" t="s">
        <v>770</v>
      </c>
      <c r="C395" s="7" t="s">
        <v>272</v>
      </c>
      <c r="D395" s="7" t="s">
        <v>295</v>
      </c>
      <c r="E395" s="7" t="s">
        <v>296</v>
      </c>
      <c r="F395" s="7" t="s">
        <v>64</v>
      </c>
      <c r="G395" s="7" t="s">
        <v>73</v>
      </c>
      <c r="H395" s="7" t="s">
        <v>211</v>
      </c>
      <c r="I395" s="7" t="s">
        <v>51</v>
      </c>
      <c r="J395" s="7" t="n">
        <v>6</v>
      </c>
      <c r="K395" s="8" t="n">
        <v>1249</v>
      </c>
      <c r="L395" s="9" t="n">
        <v>0.05</v>
      </c>
      <c r="M395" s="8" t="n">
        <v>5503.86</v>
      </c>
      <c r="N395" s="8" t="n">
        <f aca="false">J395*K395*(1-L395)</f>
        <v>7119.3</v>
      </c>
      <c r="O395" s="8" t="n">
        <f aca="false">N395-M395</f>
        <v>1615.44</v>
      </c>
      <c r="P395" s="10" t="n">
        <f aca="false">IFERROR(O395/N395,0)</f>
        <v>0.226909949011841</v>
      </c>
      <c r="Q395" s="7" t="str">
        <f aca="false">TEXT(B395,"mmm")</f>
        <v>May</v>
      </c>
      <c r="R395" s="7" t="str">
        <f aca="false">TEXT(B395,"yyyy-mm")</f>
        <v>2024-05</v>
      </c>
    </row>
    <row r="396" customFormat="false" ht="15" hidden="false" customHeight="false" outlineLevel="0" collapsed="false">
      <c r="A396" s="7" t="s">
        <v>943</v>
      </c>
      <c r="B396" s="7" t="s">
        <v>944</v>
      </c>
      <c r="C396" s="7" t="s">
        <v>451</v>
      </c>
      <c r="D396" s="7" t="s">
        <v>549</v>
      </c>
      <c r="E396" s="7" t="s">
        <v>550</v>
      </c>
      <c r="F396" s="7" t="s">
        <v>48</v>
      </c>
      <c r="G396" s="7" t="s">
        <v>65</v>
      </c>
      <c r="H396" s="7" t="s">
        <v>106</v>
      </c>
      <c r="I396" s="7" t="s">
        <v>51</v>
      </c>
      <c r="J396" s="7" t="n">
        <v>5</v>
      </c>
      <c r="K396" s="8" t="n">
        <v>3419</v>
      </c>
      <c r="L396" s="9" t="n">
        <v>0.15</v>
      </c>
      <c r="M396" s="8" t="n">
        <v>12551.6</v>
      </c>
      <c r="N396" s="8" t="n">
        <f aca="false">J396*K396*(1-L396)</f>
        <v>14530.75</v>
      </c>
      <c r="O396" s="8" t="n">
        <f aca="false">N396-M396</f>
        <v>1979.15</v>
      </c>
      <c r="P396" s="10" t="n">
        <f aca="false">IFERROR(O396/N396,0)</f>
        <v>0.136204256490546</v>
      </c>
      <c r="Q396" s="7" t="str">
        <f aca="false">TEXT(B396,"mmm")</f>
        <v>Dec</v>
      </c>
      <c r="R396" s="7" t="str">
        <f aca="false">TEXT(B396,"yyyy-mm")</f>
        <v>2024-12</v>
      </c>
    </row>
    <row r="397" customFormat="false" ht="15" hidden="false" customHeight="false" outlineLevel="0" collapsed="false">
      <c r="A397" s="7" t="s">
        <v>945</v>
      </c>
      <c r="B397" s="7" t="s">
        <v>860</v>
      </c>
      <c r="C397" s="7" t="s">
        <v>504</v>
      </c>
      <c r="D397" s="7" t="s">
        <v>46</v>
      </c>
      <c r="E397" s="7" t="s">
        <v>47</v>
      </c>
      <c r="F397" s="7" t="s">
        <v>48</v>
      </c>
      <c r="G397" s="7" t="s">
        <v>73</v>
      </c>
      <c r="H397" s="7" t="s">
        <v>115</v>
      </c>
      <c r="I397" s="7" t="s">
        <v>51</v>
      </c>
      <c r="J397" s="7" t="n">
        <v>1</v>
      </c>
      <c r="K397" s="8" t="n">
        <v>4349</v>
      </c>
      <c r="L397" s="9" t="n">
        <v>0.15</v>
      </c>
      <c r="M397" s="8" t="n">
        <v>2488.77</v>
      </c>
      <c r="N397" s="8" t="n">
        <f aca="false">J397*K397*(1-L397)</f>
        <v>3696.65</v>
      </c>
      <c r="O397" s="8" t="n">
        <f aca="false">N397-M397</f>
        <v>1207.88</v>
      </c>
      <c r="P397" s="10" t="n">
        <f aca="false">IFERROR(O397/N397,0)</f>
        <v>0.326749895175362</v>
      </c>
      <c r="Q397" s="7" t="str">
        <f aca="false">TEXT(B397,"mmm")</f>
        <v>Sep</v>
      </c>
      <c r="R397" s="7" t="str">
        <f aca="false">TEXT(B397,"yyyy-mm")</f>
        <v>2024-09</v>
      </c>
    </row>
    <row r="398" customFormat="false" ht="15" hidden="false" customHeight="false" outlineLevel="0" collapsed="false">
      <c r="A398" s="7" t="s">
        <v>946</v>
      </c>
      <c r="B398" s="7" t="s">
        <v>822</v>
      </c>
      <c r="C398" s="7" t="s">
        <v>868</v>
      </c>
      <c r="D398" s="7" t="s">
        <v>181</v>
      </c>
      <c r="E398" s="7" t="s">
        <v>182</v>
      </c>
      <c r="F398" s="7" t="s">
        <v>88</v>
      </c>
      <c r="G398" s="7" t="s">
        <v>81</v>
      </c>
      <c r="H398" s="7" t="s">
        <v>82</v>
      </c>
      <c r="I398" s="7" t="s">
        <v>51</v>
      </c>
      <c r="J398" s="7" t="n">
        <v>8</v>
      </c>
      <c r="K398" s="8" t="n">
        <v>4489</v>
      </c>
      <c r="L398" s="9" t="n">
        <v>0</v>
      </c>
      <c r="M398" s="8" t="n">
        <v>15644.56</v>
      </c>
      <c r="N398" s="8" t="n">
        <f aca="false">J398*K398*(1-L398)</f>
        <v>35912</v>
      </c>
      <c r="O398" s="8" t="n">
        <f aca="false">N398-M398</f>
        <v>20267.44</v>
      </c>
      <c r="P398" s="10" t="n">
        <f aca="false">IFERROR(O398/N398,0)</f>
        <v>0.564364000891067</v>
      </c>
      <c r="Q398" s="7" t="str">
        <f aca="false">TEXT(B398,"mmm")</f>
        <v>Oct</v>
      </c>
      <c r="R398" s="7" t="str">
        <f aca="false">TEXT(B398,"yyyy-mm")</f>
        <v>2024-10</v>
      </c>
    </row>
    <row r="399" customFormat="false" ht="15" hidden="false" customHeight="false" outlineLevel="0" collapsed="false">
      <c r="A399" s="7" t="s">
        <v>947</v>
      </c>
      <c r="B399" s="7" t="s">
        <v>458</v>
      </c>
      <c r="C399" s="7" t="s">
        <v>61</v>
      </c>
      <c r="D399" s="7" t="s">
        <v>314</v>
      </c>
      <c r="E399" s="7" t="s">
        <v>315</v>
      </c>
      <c r="F399" s="7" t="s">
        <v>64</v>
      </c>
      <c r="G399" s="7" t="s">
        <v>65</v>
      </c>
      <c r="H399" s="7" t="s">
        <v>217</v>
      </c>
      <c r="I399" s="7" t="s">
        <v>51</v>
      </c>
      <c r="J399" s="7" t="n">
        <v>2</v>
      </c>
      <c r="K399" s="8" t="n">
        <v>4059</v>
      </c>
      <c r="L399" s="9" t="n">
        <v>0</v>
      </c>
      <c r="M399" s="8" t="n">
        <v>4559.08</v>
      </c>
      <c r="N399" s="8" t="n">
        <f aca="false">J399*K399*(1-L399)</f>
        <v>8118</v>
      </c>
      <c r="O399" s="8" t="n">
        <f aca="false">N399-M399</f>
        <v>3558.92</v>
      </c>
      <c r="P399" s="10" t="n">
        <f aca="false">IFERROR(O399/N399,0)</f>
        <v>0.43839862034984</v>
      </c>
      <c r="Q399" s="7" t="str">
        <f aca="false">TEXT(B399,"mmm")</f>
        <v>Jun</v>
      </c>
      <c r="R399" s="7" t="str">
        <f aca="false">TEXT(B399,"yyyy-mm")</f>
        <v>2024-06</v>
      </c>
    </row>
    <row r="400" customFormat="false" ht="15" hidden="false" customHeight="false" outlineLevel="0" collapsed="false">
      <c r="A400" s="7" t="s">
        <v>948</v>
      </c>
      <c r="B400" s="7" t="s">
        <v>912</v>
      </c>
      <c r="C400" s="7" t="s">
        <v>586</v>
      </c>
      <c r="D400" s="7" t="s">
        <v>46</v>
      </c>
      <c r="E400" s="7" t="s">
        <v>47</v>
      </c>
      <c r="F400" s="7" t="s">
        <v>48</v>
      </c>
      <c r="G400" s="7" t="s">
        <v>73</v>
      </c>
      <c r="H400" s="7" t="s">
        <v>211</v>
      </c>
      <c r="I400" s="7" t="s">
        <v>75</v>
      </c>
      <c r="J400" s="7" t="n">
        <v>2</v>
      </c>
      <c r="K400" s="8" t="n">
        <v>4349</v>
      </c>
      <c r="L400" s="9" t="n">
        <v>0.1</v>
      </c>
      <c r="M400" s="8" t="n">
        <v>4977.54</v>
      </c>
      <c r="N400" s="8" t="n">
        <f aca="false">J400*K400*(1-L400)</f>
        <v>7828.2</v>
      </c>
      <c r="O400" s="8" t="n">
        <f aca="false">N400-M400</f>
        <v>2850.66</v>
      </c>
      <c r="P400" s="10" t="n">
        <f aca="false">IFERROR(O400/N400,0)</f>
        <v>0.36415267877673</v>
      </c>
      <c r="Q400" s="7" t="str">
        <f aca="false">TEXT(B400,"mmm")</f>
        <v>Jan</v>
      </c>
      <c r="R400" s="7" t="str">
        <f aca="false">TEXT(B400,"yyyy-mm")</f>
        <v>2024-01</v>
      </c>
    </row>
    <row r="401" customFormat="false" ht="15" hidden="false" customHeight="false" outlineLevel="0" collapsed="false">
      <c r="A401" s="7" t="s">
        <v>949</v>
      </c>
      <c r="B401" s="7" t="s">
        <v>912</v>
      </c>
      <c r="C401" s="7" t="s">
        <v>659</v>
      </c>
      <c r="D401" s="7" t="s">
        <v>130</v>
      </c>
      <c r="E401" s="7" t="s">
        <v>131</v>
      </c>
      <c r="F401" s="7" t="s">
        <v>72</v>
      </c>
      <c r="G401" s="7" t="s">
        <v>73</v>
      </c>
      <c r="H401" s="7" t="s">
        <v>211</v>
      </c>
      <c r="I401" s="7" t="s">
        <v>51</v>
      </c>
      <c r="J401" s="7" t="n">
        <v>7</v>
      </c>
      <c r="K401" s="8" t="n">
        <v>7899</v>
      </c>
      <c r="L401" s="9" t="n">
        <v>0</v>
      </c>
      <c r="M401" s="8" t="n">
        <v>23840.81</v>
      </c>
      <c r="N401" s="8" t="n">
        <f aca="false">J401*K401*(1-L401)</f>
        <v>55293</v>
      </c>
      <c r="O401" s="8" t="n">
        <f aca="false">N401-M401</f>
        <v>31452.19</v>
      </c>
      <c r="P401" s="10" t="n">
        <f aca="false">IFERROR(O401/N401,0)</f>
        <v>0.568827699708824</v>
      </c>
      <c r="Q401" s="7" t="str">
        <f aca="false">TEXT(B401,"mmm")</f>
        <v>Jan</v>
      </c>
      <c r="R401" s="7" t="str">
        <f aca="false">TEXT(B401,"yyyy-mm")</f>
        <v>2024-01</v>
      </c>
    </row>
    <row r="402" customFormat="false" ht="15" hidden="false" customHeight="false" outlineLevel="0" collapsed="false">
      <c r="A402" s="7" t="s">
        <v>950</v>
      </c>
      <c r="B402" s="7" t="s">
        <v>268</v>
      </c>
      <c r="C402" s="7" t="s">
        <v>676</v>
      </c>
      <c r="D402" s="7" t="s">
        <v>149</v>
      </c>
      <c r="E402" s="7" t="s">
        <v>150</v>
      </c>
      <c r="F402" s="7" t="s">
        <v>88</v>
      </c>
      <c r="G402" s="7" t="s">
        <v>81</v>
      </c>
      <c r="H402" s="7" t="s">
        <v>186</v>
      </c>
      <c r="I402" s="7" t="s">
        <v>51</v>
      </c>
      <c r="J402" s="7" t="n">
        <v>8</v>
      </c>
      <c r="K402" s="8" t="n">
        <v>5219</v>
      </c>
      <c r="L402" s="9" t="n">
        <v>0.2</v>
      </c>
      <c r="M402" s="8" t="n">
        <v>27928.32</v>
      </c>
      <c r="N402" s="8" t="n">
        <f aca="false">J402*K402*(1-L402)</f>
        <v>33401.6</v>
      </c>
      <c r="O402" s="8" t="n">
        <f aca="false">N402-M402</f>
        <v>5473.28</v>
      </c>
      <c r="P402" s="10" t="n">
        <f aca="false">IFERROR(O402/N402,0)</f>
        <v>0.163862808967235</v>
      </c>
      <c r="Q402" s="7" t="str">
        <f aca="false">TEXT(B402,"mmm")</f>
        <v>Nov</v>
      </c>
      <c r="R402" s="7" t="str">
        <f aca="false">TEXT(B402,"yyyy-mm")</f>
        <v>2024-11</v>
      </c>
    </row>
    <row r="403" customFormat="false" ht="15" hidden="false" customHeight="false" outlineLevel="0" collapsed="false">
      <c r="A403" s="7" t="s">
        <v>951</v>
      </c>
      <c r="B403" s="7" t="s">
        <v>462</v>
      </c>
      <c r="C403" s="7" t="s">
        <v>742</v>
      </c>
      <c r="D403" s="7" t="s">
        <v>215</v>
      </c>
      <c r="E403" s="7" t="s">
        <v>216</v>
      </c>
      <c r="F403" s="7" t="s">
        <v>57</v>
      </c>
      <c r="G403" s="7" t="s">
        <v>65</v>
      </c>
      <c r="H403" s="7" t="s">
        <v>217</v>
      </c>
      <c r="I403" s="7" t="s">
        <v>51</v>
      </c>
      <c r="J403" s="7" t="n">
        <v>4</v>
      </c>
      <c r="K403" s="8" t="n">
        <v>3749</v>
      </c>
      <c r="L403" s="9" t="n">
        <v>0.2</v>
      </c>
      <c r="M403" s="8" t="n">
        <v>11446.36</v>
      </c>
      <c r="N403" s="8" t="n">
        <f aca="false">J403*K403*(1-L403)</f>
        <v>11996.8</v>
      </c>
      <c r="O403" s="8" t="n">
        <f aca="false">N403-M403</f>
        <v>550.440000000001</v>
      </c>
      <c r="P403" s="10" t="n">
        <f aca="false">IFERROR(O403/N403,0)</f>
        <v>0.0458822352627368</v>
      </c>
      <c r="Q403" s="7" t="str">
        <f aca="false">TEXT(B403,"mmm")</f>
        <v>Feb</v>
      </c>
      <c r="R403" s="7" t="str">
        <f aca="false">TEXT(B403,"yyyy-mm")</f>
        <v>2024-02</v>
      </c>
    </row>
    <row r="404" customFormat="false" ht="15" hidden="false" customHeight="false" outlineLevel="0" collapsed="false">
      <c r="A404" s="7" t="s">
        <v>952</v>
      </c>
      <c r="B404" s="7" t="s">
        <v>953</v>
      </c>
      <c r="C404" s="7" t="s">
        <v>515</v>
      </c>
      <c r="D404" s="7" t="s">
        <v>260</v>
      </c>
      <c r="E404" s="7" t="s">
        <v>261</v>
      </c>
      <c r="F404" s="7" t="s">
        <v>72</v>
      </c>
      <c r="G404" s="7" t="s">
        <v>73</v>
      </c>
      <c r="H404" s="7" t="s">
        <v>266</v>
      </c>
      <c r="I404" s="7" t="s">
        <v>75</v>
      </c>
      <c r="J404" s="7" t="n">
        <v>4</v>
      </c>
      <c r="K404" s="8" t="n">
        <v>4879</v>
      </c>
      <c r="L404" s="9" t="n">
        <v>0</v>
      </c>
      <c r="M404" s="8" t="n">
        <v>9734.92</v>
      </c>
      <c r="N404" s="8" t="n">
        <f aca="false">J404*K404*(1-L404)</f>
        <v>19516</v>
      </c>
      <c r="O404" s="8" t="n">
        <f aca="false">N404-M404</f>
        <v>9781.08</v>
      </c>
      <c r="P404" s="10" t="n">
        <f aca="false">IFERROR(O404/N404,0)</f>
        <v>0.501182619389219</v>
      </c>
      <c r="Q404" s="7" t="str">
        <f aca="false">TEXT(B404,"mmm")</f>
        <v>Feb</v>
      </c>
      <c r="R404" s="7" t="str">
        <f aca="false">TEXT(B404,"yyyy-mm")</f>
        <v>2024-02</v>
      </c>
    </row>
    <row r="405" customFormat="false" ht="15" hidden="false" customHeight="false" outlineLevel="0" collapsed="false">
      <c r="A405" s="7" t="s">
        <v>954</v>
      </c>
      <c r="B405" s="7" t="s">
        <v>517</v>
      </c>
      <c r="C405" s="7" t="s">
        <v>175</v>
      </c>
      <c r="D405" s="7" t="s">
        <v>197</v>
      </c>
      <c r="E405" s="7" t="s">
        <v>198</v>
      </c>
      <c r="F405" s="7" t="s">
        <v>64</v>
      </c>
      <c r="G405" s="7" t="s">
        <v>73</v>
      </c>
      <c r="H405" s="7" t="s">
        <v>115</v>
      </c>
      <c r="I405" s="7" t="s">
        <v>51</v>
      </c>
      <c r="J405" s="7" t="n">
        <v>5</v>
      </c>
      <c r="K405" s="8" t="n">
        <v>2910</v>
      </c>
      <c r="L405" s="9" t="n">
        <v>0</v>
      </c>
      <c r="M405" s="8" t="n">
        <v>6700.8</v>
      </c>
      <c r="N405" s="8" t="n">
        <f aca="false">J405*K405*(1-L405)</f>
        <v>14550</v>
      </c>
      <c r="O405" s="8" t="n">
        <f aca="false">N405-M405</f>
        <v>7849.2</v>
      </c>
      <c r="P405" s="10" t="n">
        <f aca="false">IFERROR(O405/N405,0)</f>
        <v>0.539463917525773</v>
      </c>
      <c r="Q405" s="7" t="str">
        <f aca="false">TEXT(B405,"mmm")</f>
        <v>Aug</v>
      </c>
      <c r="R405" s="7" t="str">
        <f aca="false">TEXT(B405,"yyyy-mm")</f>
        <v>2024-08</v>
      </c>
    </row>
    <row r="406" customFormat="false" ht="15" hidden="false" customHeight="false" outlineLevel="0" collapsed="false">
      <c r="A406" s="7" t="s">
        <v>955</v>
      </c>
      <c r="B406" s="7" t="s">
        <v>956</v>
      </c>
      <c r="C406" s="7" t="s">
        <v>558</v>
      </c>
      <c r="D406" s="7" t="s">
        <v>95</v>
      </c>
      <c r="E406" s="7" t="s">
        <v>96</v>
      </c>
      <c r="F406" s="7" t="s">
        <v>48</v>
      </c>
      <c r="G406" s="7" t="s">
        <v>81</v>
      </c>
      <c r="H406" s="7" t="s">
        <v>186</v>
      </c>
      <c r="I406" s="7" t="s">
        <v>51</v>
      </c>
      <c r="J406" s="7" t="n">
        <v>1</v>
      </c>
      <c r="K406" s="8" t="n">
        <v>5529</v>
      </c>
      <c r="L406" s="9" t="n">
        <v>0.2</v>
      </c>
      <c r="M406" s="8" t="n">
        <v>3116.26</v>
      </c>
      <c r="N406" s="8" t="n">
        <f aca="false">J406*K406*(1-L406)</f>
        <v>4423.2</v>
      </c>
      <c r="O406" s="8" t="n">
        <f aca="false">N406-M406</f>
        <v>1306.94</v>
      </c>
      <c r="P406" s="10" t="n">
        <f aca="false">IFERROR(O406/N406,0)</f>
        <v>0.295473865075059</v>
      </c>
      <c r="Q406" s="7" t="str">
        <f aca="false">TEXT(B406,"mmm")</f>
        <v>May</v>
      </c>
      <c r="R406" s="7" t="str">
        <f aca="false">TEXT(B406,"yyyy-mm")</f>
        <v>2024-05</v>
      </c>
    </row>
    <row r="407" customFormat="false" ht="15" hidden="false" customHeight="false" outlineLevel="0" collapsed="false">
      <c r="A407" s="7" t="s">
        <v>957</v>
      </c>
      <c r="B407" s="7" t="s">
        <v>534</v>
      </c>
      <c r="C407" s="7" t="s">
        <v>399</v>
      </c>
      <c r="D407" s="7" t="s">
        <v>206</v>
      </c>
      <c r="E407" s="7" t="s">
        <v>207</v>
      </c>
      <c r="F407" s="7" t="s">
        <v>88</v>
      </c>
      <c r="G407" s="7" t="s">
        <v>73</v>
      </c>
      <c r="H407" s="7" t="s">
        <v>266</v>
      </c>
      <c r="I407" s="7" t="s">
        <v>75</v>
      </c>
      <c r="J407" s="7" t="n">
        <v>2</v>
      </c>
      <c r="K407" s="8" t="n">
        <v>1029</v>
      </c>
      <c r="L407" s="9" t="n">
        <v>0.1</v>
      </c>
      <c r="M407" s="8" t="n">
        <v>1257.24</v>
      </c>
      <c r="N407" s="8" t="n">
        <f aca="false">J407*K407*(1-L407)</f>
        <v>1852.2</v>
      </c>
      <c r="O407" s="8" t="n">
        <f aca="false">N407-M407</f>
        <v>594.96</v>
      </c>
      <c r="P407" s="10" t="n">
        <f aca="false">IFERROR(O407/N407,0)</f>
        <v>0.321218011013929</v>
      </c>
      <c r="Q407" s="7" t="str">
        <f aca="false">TEXT(B407,"mmm")</f>
        <v>Jan</v>
      </c>
      <c r="R407" s="7" t="str">
        <f aca="false">TEXT(B407,"yyyy-mm")</f>
        <v>2024-01</v>
      </c>
    </row>
    <row r="408" customFormat="false" ht="15" hidden="false" customHeight="false" outlineLevel="0" collapsed="false">
      <c r="A408" s="7" t="s">
        <v>958</v>
      </c>
      <c r="B408" s="7" t="s">
        <v>609</v>
      </c>
      <c r="C408" s="7" t="s">
        <v>349</v>
      </c>
      <c r="D408" s="7" t="s">
        <v>154</v>
      </c>
      <c r="E408" s="7" t="s">
        <v>155</v>
      </c>
      <c r="F408" s="7" t="s">
        <v>57</v>
      </c>
      <c r="G408" s="7" t="s">
        <v>73</v>
      </c>
      <c r="H408" s="7" t="s">
        <v>211</v>
      </c>
      <c r="I408" s="7" t="s">
        <v>51</v>
      </c>
      <c r="J408" s="7" t="n">
        <v>4</v>
      </c>
      <c r="K408" s="8" t="n">
        <v>2949</v>
      </c>
      <c r="L408" s="9" t="n">
        <v>0.05</v>
      </c>
      <c r="M408" s="8" t="n">
        <v>6221.56</v>
      </c>
      <c r="N408" s="8" t="n">
        <f aca="false">J408*K408*(1-L408)</f>
        <v>11206.2</v>
      </c>
      <c r="O408" s="8" t="n">
        <f aca="false">N408-M408</f>
        <v>4984.64</v>
      </c>
      <c r="P408" s="10" t="n">
        <f aca="false">IFERROR(O408/N408,0)</f>
        <v>0.44481090824722</v>
      </c>
      <c r="Q408" s="7" t="str">
        <f aca="false">TEXT(B408,"mmm")</f>
        <v>Sep</v>
      </c>
      <c r="R408" s="7" t="str">
        <f aca="false">TEXT(B408,"yyyy-mm")</f>
        <v>2024-09</v>
      </c>
    </row>
    <row r="409" customFormat="false" ht="15" hidden="false" customHeight="false" outlineLevel="0" collapsed="false">
      <c r="A409" s="7" t="s">
        <v>959</v>
      </c>
      <c r="B409" s="7" t="s">
        <v>960</v>
      </c>
      <c r="C409" s="7" t="s">
        <v>566</v>
      </c>
      <c r="D409" s="7" t="s">
        <v>130</v>
      </c>
      <c r="E409" s="7" t="s">
        <v>131</v>
      </c>
      <c r="F409" s="7" t="s">
        <v>72</v>
      </c>
      <c r="G409" s="7" t="s">
        <v>49</v>
      </c>
      <c r="H409" s="7" t="s">
        <v>172</v>
      </c>
      <c r="I409" s="7" t="s">
        <v>51</v>
      </c>
      <c r="J409" s="7" t="n">
        <v>6</v>
      </c>
      <c r="K409" s="8" t="n">
        <v>7899</v>
      </c>
      <c r="L409" s="9" t="n">
        <v>0</v>
      </c>
      <c r="M409" s="8" t="n">
        <v>20434.98</v>
      </c>
      <c r="N409" s="8" t="n">
        <f aca="false">J409*K409*(1-L409)</f>
        <v>47394</v>
      </c>
      <c r="O409" s="8" t="n">
        <f aca="false">N409-M409</f>
        <v>26959.02</v>
      </c>
      <c r="P409" s="10" t="n">
        <f aca="false">IFERROR(O409/N409,0)</f>
        <v>0.568827699708824</v>
      </c>
      <c r="Q409" s="7" t="str">
        <f aca="false">TEXT(B409,"mmm")</f>
        <v>May</v>
      </c>
      <c r="R409" s="7" t="str">
        <f aca="false">TEXT(B409,"yyyy-mm")</f>
        <v>2024-05</v>
      </c>
    </row>
    <row r="410" customFormat="false" ht="15" hidden="false" customHeight="false" outlineLevel="0" collapsed="false">
      <c r="A410" s="7" t="s">
        <v>961</v>
      </c>
      <c r="B410" s="7" t="s">
        <v>899</v>
      </c>
      <c r="C410" s="7" t="s">
        <v>45</v>
      </c>
      <c r="D410" s="7" t="s">
        <v>176</v>
      </c>
      <c r="E410" s="7" t="s">
        <v>177</v>
      </c>
      <c r="F410" s="7" t="s">
        <v>72</v>
      </c>
      <c r="G410" s="7" t="s">
        <v>81</v>
      </c>
      <c r="H410" s="7" t="s">
        <v>237</v>
      </c>
      <c r="I410" s="7" t="s">
        <v>75</v>
      </c>
      <c r="J410" s="7" t="n">
        <v>2</v>
      </c>
      <c r="K410" s="8" t="n">
        <v>3969</v>
      </c>
      <c r="L410" s="9" t="n">
        <v>0.2</v>
      </c>
      <c r="M410" s="8" t="n">
        <v>4295.94</v>
      </c>
      <c r="N410" s="8" t="n">
        <f aca="false">J410*K410*(1-L410)</f>
        <v>6350.4</v>
      </c>
      <c r="O410" s="8" t="n">
        <f aca="false">N410-M410</f>
        <v>2054.46</v>
      </c>
      <c r="P410" s="10" t="n">
        <f aca="false">IFERROR(O410/N410,0)</f>
        <v>0.323516628873772</v>
      </c>
      <c r="Q410" s="7" t="str">
        <f aca="false">TEXT(B410,"mmm")</f>
        <v>Jan</v>
      </c>
      <c r="R410" s="7" t="str">
        <f aca="false">TEXT(B410,"yyyy-mm")</f>
        <v>2024-01</v>
      </c>
    </row>
    <row r="411" customFormat="false" ht="15" hidden="false" customHeight="false" outlineLevel="0" collapsed="false">
      <c r="A411" s="7" t="s">
        <v>962</v>
      </c>
      <c r="B411" s="7" t="s">
        <v>580</v>
      </c>
      <c r="C411" s="7" t="s">
        <v>108</v>
      </c>
      <c r="D411" s="7" t="s">
        <v>55</v>
      </c>
      <c r="E411" s="7" t="s">
        <v>56</v>
      </c>
      <c r="F411" s="7" t="s">
        <v>57</v>
      </c>
      <c r="G411" s="7" t="s">
        <v>65</v>
      </c>
      <c r="H411" s="7" t="s">
        <v>126</v>
      </c>
      <c r="I411" s="7" t="s">
        <v>51</v>
      </c>
      <c r="J411" s="7" t="n">
        <v>2</v>
      </c>
      <c r="K411" s="8" t="n">
        <v>2850</v>
      </c>
      <c r="L411" s="9" t="n">
        <v>0</v>
      </c>
      <c r="M411" s="8" t="n">
        <v>4256.3</v>
      </c>
      <c r="N411" s="8" t="n">
        <f aca="false">J411*K411*(1-L411)</f>
        <v>5700</v>
      </c>
      <c r="O411" s="8" t="n">
        <f aca="false">N411-M411</f>
        <v>1443.7</v>
      </c>
      <c r="P411" s="10" t="n">
        <f aca="false">IFERROR(O411/N411,0)</f>
        <v>0.253280701754386</v>
      </c>
      <c r="Q411" s="7" t="str">
        <f aca="false">TEXT(B411,"mmm")</f>
        <v>Jul</v>
      </c>
      <c r="R411" s="7" t="str">
        <f aca="false">TEXT(B411,"yyyy-mm")</f>
        <v>2024-07</v>
      </c>
    </row>
    <row r="412" customFormat="false" ht="15" hidden="false" customHeight="false" outlineLevel="0" collapsed="false">
      <c r="A412" s="7" t="s">
        <v>963</v>
      </c>
      <c r="B412" s="7" t="s">
        <v>190</v>
      </c>
      <c r="C412" s="7" t="s">
        <v>903</v>
      </c>
      <c r="D412" s="7" t="s">
        <v>181</v>
      </c>
      <c r="E412" s="7" t="s">
        <v>182</v>
      </c>
      <c r="F412" s="7" t="s">
        <v>88</v>
      </c>
      <c r="G412" s="7" t="s">
        <v>336</v>
      </c>
      <c r="H412" s="7" t="s">
        <v>336</v>
      </c>
      <c r="I412" s="7" t="s">
        <v>75</v>
      </c>
      <c r="J412" s="7" t="n">
        <v>2</v>
      </c>
      <c r="K412" s="8" t="n">
        <v>4489</v>
      </c>
      <c r="L412" s="9" t="n">
        <v>0.05</v>
      </c>
      <c r="M412" s="8" t="n">
        <v>3911.14</v>
      </c>
      <c r="N412" s="8" t="n">
        <f aca="false">J412*K412*(1-L412)</f>
        <v>8529.1</v>
      </c>
      <c r="O412" s="8" t="n">
        <f aca="false">N412-M412</f>
        <v>4617.96</v>
      </c>
      <c r="P412" s="10" t="n">
        <f aca="false">IFERROR(O412/N412,0)</f>
        <v>0.54143579041165</v>
      </c>
      <c r="Q412" s="7" t="str">
        <f aca="false">TEXT(B412,"mmm")</f>
        <v>Sep</v>
      </c>
      <c r="R412" s="7" t="str">
        <f aca="false">TEXT(B412,"yyyy-mm")</f>
        <v>2024-09</v>
      </c>
    </row>
    <row r="413" customFormat="false" ht="15" hidden="false" customHeight="false" outlineLevel="0" collapsed="false">
      <c r="A413" s="7" t="s">
        <v>964</v>
      </c>
      <c r="B413" s="7" t="s">
        <v>965</v>
      </c>
      <c r="C413" s="7" t="s">
        <v>134</v>
      </c>
      <c r="D413" s="7" t="s">
        <v>176</v>
      </c>
      <c r="E413" s="7" t="s">
        <v>177</v>
      </c>
      <c r="F413" s="7" t="s">
        <v>72</v>
      </c>
      <c r="G413" s="7" t="s">
        <v>49</v>
      </c>
      <c r="H413" s="7" t="s">
        <v>100</v>
      </c>
      <c r="I413" s="7" t="s">
        <v>75</v>
      </c>
      <c r="J413" s="7" t="n">
        <v>5</v>
      </c>
      <c r="K413" s="8" t="n">
        <v>3969</v>
      </c>
      <c r="L413" s="9" t="n">
        <v>0.15</v>
      </c>
      <c r="M413" s="8" t="n">
        <v>10739.85</v>
      </c>
      <c r="N413" s="8" t="n">
        <f aca="false">J413*K413*(1-L413)</f>
        <v>16868.25</v>
      </c>
      <c r="O413" s="8" t="n">
        <f aca="false">N413-M413</f>
        <v>6128.4</v>
      </c>
      <c r="P413" s="10" t="n">
        <f aca="false">IFERROR(O413/N413,0)</f>
        <v>0.363309768351785</v>
      </c>
      <c r="Q413" s="7" t="str">
        <f aca="false">TEXT(B413,"mmm")</f>
        <v>Nov</v>
      </c>
      <c r="R413" s="7" t="str">
        <f aca="false">TEXT(B413,"yyyy-mm")</f>
        <v>2024-11</v>
      </c>
    </row>
    <row r="414" customFormat="false" ht="15" hidden="false" customHeight="false" outlineLevel="0" collapsed="false">
      <c r="A414" s="7" t="s">
        <v>966</v>
      </c>
      <c r="B414" s="7" t="s">
        <v>967</v>
      </c>
      <c r="C414" s="7" t="s">
        <v>578</v>
      </c>
      <c r="D414" s="7" t="s">
        <v>441</v>
      </c>
      <c r="E414" s="7" t="s">
        <v>442</v>
      </c>
      <c r="F414" s="7" t="s">
        <v>64</v>
      </c>
      <c r="G414" s="7" t="s">
        <v>49</v>
      </c>
      <c r="H414" s="7" t="s">
        <v>100</v>
      </c>
      <c r="I414" s="7" t="s">
        <v>75</v>
      </c>
      <c r="J414" s="7" t="n">
        <v>2</v>
      </c>
      <c r="K414" s="8" t="n">
        <v>3349</v>
      </c>
      <c r="L414" s="9" t="n">
        <v>0.1</v>
      </c>
      <c r="M414" s="8" t="n">
        <v>4381.18</v>
      </c>
      <c r="N414" s="8" t="n">
        <f aca="false">J414*K414*(1-L414)</f>
        <v>6028.2</v>
      </c>
      <c r="O414" s="8" t="n">
        <f aca="false">N414-M414</f>
        <v>1647.02</v>
      </c>
      <c r="P414" s="10" t="n">
        <f aca="false">IFERROR(O414/N414,0)</f>
        <v>0.273219203078863</v>
      </c>
      <c r="Q414" s="7" t="str">
        <f aca="false">TEXT(B414,"mmm")</f>
        <v>Dec</v>
      </c>
      <c r="R414" s="7" t="str">
        <f aca="false">TEXT(B414,"yyyy-mm")</f>
        <v>2024-12</v>
      </c>
    </row>
    <row r="415" customFormat="false" ht="15" hidden="false" customHeight="false" outlineLevel="0" collapsed="false">
      <c r="A415" s="7" t="s">
        <v>968</v>
      </c>
      <c r="B415" s="7" t="s">
        <v>179</v>
      </c>
      <c r="C415" s="7" t="s">
        <v>99</v>
      </c>
      <c r="D415" s="7" t="s">
        <v>130</v>
      </c>
      <c r="E415" s="7" t="s">
        <v>131</v>
      </c>
      <c r="F415" s="7" t="s">
        <v>72</v>
      </c>
      <c r="G415" s="7" t="s">
        <v>65</v>
      </c>
      <c r="H415" s="7" t="s">
        <v>66</v>
      </c>
      <c r="I415" s="7" t="s">
        <v>51</v>
      </c>
      <c r="J415" s="7" t="n">
        <v>5</v>
      </c>
      <c r="K415" s="8" t="n">
        <v>7899</v>
      </c>
      <c r="L415" s="9" t="n">
        <v>0.2</v>
      </c>
      <c r="M415" s="8" t="n">
        <v>17029.15</v>
      </c>
      <c r="N415" s="8" t="n">
        <f aca="false">J415*K415*(1-L415)</f>
        <v>31596</v>
      </c>
      <c r="O415" s="8" t="n">
        <f aca="false">N415-M415</f>
        <v>14566.85</v>
      </c>
      <c r="P415" s="10" t="n">
        <f aca="false">IFERROR(O415/N415,0)</f>
        <v>0.46103462463603</v>
      </c>
      <c r="Q415" s="7" t="str">
        <f aca="false">TEXT(B415,"mmm")</f>
        <v>Feb</v>
      </c>
      <c r="R415" s="7" t="str">
        <f aca="false">TEXT(B415,"yyyy-mm")</f>
        <v>2024-02</v>
      </c>
    </row>
    <row r="416" customFormat="false" ht="15" hidden="false" customHeight="false" outlineLevel="0" collapsed="false">
      <c r="A416" s="7" t="s">
        <v>969</v>
      </c>
      <c r="B416" s="7" t="s">
        <v>77</v>
      </c>
      <c r="C416" s="7" t="s">
        <v>767</v>
      </c>
      <c r="D416" s="7" t="s">
        <v>287</v>
      </c>
      <c r="E416" s="7" t="s">
        <v>288</v>
      </c>
      <c r="F416" s="7" t="s">
        <v>72</v>
      </c>
      <c r="G416" s="7" t="s">
        <v>65</v>
      </c>
      <c r="H416" s="7" t="s">
        <v>106</v>
      </c>
      <c r="I416" s="7" t="s">
        <v>51</v>
      </c>
      <c r="J416" s="7" t="n">
        <v>6</v>
      </c>
      <c r="K416" s="8" t="n">
        <v>1049</v>
      </c>
      <c r="L416" s="9" t="n">
        <v>0.1</v>
      </c>
      <c r="M416" s="8" t="n">
        <v>3972.12</v>
      </c>
      <c r="N416" s="8" t="n">
        <f aca="false">J416*K416*(1-L416)</f>
        <v>5664.6</v>
      </c>
      <c r="O416" s="8" t="n">
        <f aca="false">N416-M416</f>
        <v>1692.48</v>
      </c>
      <c r="P416" s="10" t="n">
        <f aca="false">IFERROR(O416/N416,0)</f>
        <v>0.298781908696113</v>
      </c>
      <c r="Q416" s="7" t="str">
        <f aca="false">TEXT(B416,"mmm")</f>
        <v>Nov</v>
      </c>
      <c r="R416" s="7" t="str">
        <f aca="false">TEXT(B416,"yyyy-mm")</f>
        <v>2024-11</v>
      </c>
    </row>
    <row r="417" customFormat="false" ht="15" hidden="false" customHeight="false" outlineLevel="0" collapsed="false">
      <c r="A417" s="7" t="s">
        <v>970</v>
      </c>
      <c r="B417" s="7" t="s">
        <v>718</v>
      </c>
      <c r="C417" s="7" t="s">
        <v>773</v>
      </c>
      <c r="D417" s="7" t="s">
        <v>130</v>
      </c>
      <c r="E417" s="7" t="s">
        <v>131</v>
      </c>
      <c r="F417" s="7" t="s">
        <v>72</v>
      </c>
      <c r="G417" s="7" t="s">
        <v>81</v>
      </c>
      <c r="H417" s="7" t="s">
        <v>237</v>
      </c>
      <c r="I417" s="7" t="s">
        <v>51</v>
      </c>
      <c r="J417" s="7" t="n">
        <v>2</v>
      </c>
      <c r="K417" s="8" t="n">
        <v>7899</v>
      </c>
      <c r="L417" s="9" t="n">
        <v>0</v>
      </c>
      <c r="M417" s="8" t="n">
        <v>6811.66</v>
      </c>
      <c r="N417" s="8" t="n">
        <f aca="false">J417*K417*(1-L417)</f>
        <v>15798</v>
      </c>
      <c r="O417" s="8" t="n">
        <f aca="false">N417-M417</f>
        <v>8986.34</v>
      </c>
      <c r="P417" s="10" t="n">
        <f aca="false">IFERROR(O417/N417,0)</f>
        <v>0.568827699708824</v>
      </c>
      <c r="Q417" s="7" t="str">
        <f aca="false">TEXT(B417,"mmm")</f>
        <v>Oct</v>
      </c>
      <c r="R417" s="7" t="str">
        <f aca="false">TEXT(B417,"yyyy-mm")</f>
        <v>2024-10</v>
      </c>
    </row>
    <row r="418" customFormat="false" ht="15" hidden="false" customHeight="false" outlineLevel="0" collapsed="false">
      <c r="A418" s="7" t="s">
        <v>971</v>
      </c>
      <c r="B418" s="7" t="s">
        <v>312</v>
      </c>
      <c r="C418" s="7" t="s">
        <v>599</v>
      </c>
      <c r="D418" s="7" t="s">
        <v>170</v>
      </c>
      <c r="E418" s="7" t="s">
        <v>171</v>
      </c>
      <c r="F418" s="7" t="s">
        <v>88</v>
      </c>
      <c r="G418" s="7" t="s">
        <v>49</v>
      </c>
      <c r="H418" s="7" t="s">
        <v>58</v>
      </c>
      <c r="I418" s="7" t="s">
        <v>51</v>
      </c>
      <c r="J418" s="7" t="n">
        <v>2</v>
      </c>
      <c r="K418" s="8" t="n">
        <v>5749</v>
      </c>
      <c r="L418" s="9" t="n">
        <v>0.2</v>
      </c>
      <c r="M418" s="8" t="n">
        <v>6315.42</v>
      </c>
      <c r="N418" s="8" t="n">
        <f aca="false">J418*K418*(1-L418)</f>
        <v>9198.4</v>
      </c>
      <c r="O418" s="8" t="n">
        <f aca="false">N418-M418</f>
        <v>2882.98</v>
      </c>
      <c r="P418" s="10" t="n">
        <f aca="false">IFERROR(O418/N418,0)</f>
        <v>0.313421899460776</v>
      </c>
      <c r="Q418" s="7" t="str">
        <f aca="false">TEXT(B418,"mmm")</f>
        <v>May</v>
      </c>
      <c r="R418" s="7" t="str">
        <f aca="false">TEXT(B418,"yyyy-mm")</f>
        <v>2024-05</v>
      </c>
    </row>
    <row r="419" customFormat="false" ht="15" hidden="false" customHeight="false" outlineLevel="0" collapsed="false">
      <c r="A419" s="7" t="s">
        <v>972</v>
      </c>
      <c r="B419" s="7" t="s">
        <v>973</v>
      </c>
      <c r="C419" s="7" t="s">
        <v>483</v>
      </c>
      <c r="D419" s="7" t="s">
        <v>360</v>
      </c>
      <c r="E419" s="7" t="s">
        <v>361</v>
      </c>
      <c r="F419" s="7" t="s">
        <v>48</v>
      </c>
      <c r="G419" s="7" t="s">
        <v>73</v>
      </c>
      <c r="H419" s="7" t="s">
        <v>266</v>
      </c>
      <c r="I419" s="7" t="s">
        <v>75</v>
      </c>
      <c r="J419" s="7" t="n">
        <v>4</v>
      </c>
      <c r="K419" s="8" t="n">
        <v>679</v>
      </c>
      <c r="L419" s="9" t="n">
        <v>0.15</v>
      </c>
      <c r="M419" s="8" t="n">
        <v>1842.8</v>
      </c>
      <c r="N419" s="8" t="n">
        <f aca="false">J419*K419*(1-L419)</f>
        <v>2308.6</v>
      </c>
      <c r="O419" s="8" t="n">
        <f aca="false">N419-M419</f>
        <v>465.8</v>
      </c>
      <c r="P419" s="10" t="n">
        <f aca="false">IFERROR(O419/N419,0)</f>
        <v>0.201767304860088</v>
      </c>
      <c r="Q419" s="7" t="str">
        <f aca="false">TEXT(B419,"mmm")</f>
        <v>Mar</v>
      </c>
      <c r="R419" s="7" t="str">
        <f aca="false">TEXT(B419,"yyyy-mm")</f>
        <v>2024-03</v>
      </c>
    </row>
    <row r="420" customFormat="false" ht="15" hidden="false" customHeight="false" outlineLevel="0" collapsed="false">
      <c r="A420" s="7" t="s">
        <v>974</v>
      </c>
      <c r="B420" s="7" t="s">
        <v>909</v>
      </c>
      <c r="C420" s="7" t="s">
        <v>711</v>
      </c>
      <c r="D420" s="7" t="s">
        <v>197</v>
      </c>
      <c r="E420" s="7" t="s">
        <v>198</v>
      </c>
      <c r="F420" s="7" t="s">
        <v>64</v>
      </c>
      <c r="G420" s="7" t="s">
        <v>65</v>
      </c>
      <c r="H420" s="7" t="s">
        <v>66</v>
      </c>
      <c r="I420" s="7" t="s">
        <v>51</v>
      </c>
      <c r="J420" s="7" t="n">
        <v>4</v>
      </c>
      <c r="K420" s="8" t="n">
        <v>2910</v>
      </c>
      <c r="L420" s="9" t="n">
        <v>0</v>
      </c>
      <c r="M420" s="8" t="n">
        <v>5360.64</v>
      </c>
      <c r="N420" s="8" t="n">
        <f aca="false">J420*K420*(1-L420)</f>
        <v>11640</v>
      </c>
      <c r="O420" s="8" t="n">
        <f aca="false">N420-M420</f>
        <v>6279.36</v>
      </c>
      <c r="P420" s="10" t="n">
        <f aca="false">IFERROR(O420/N420,0)</f>
        <v>0.539463917525773</v>
      </c>
      <c r="Q420" s="7" t="str">
        <f aca="false">TEXT(B420,"mmm")</f>
        <v>Feb</v>
      </c>
      <c r="R420" s="7" t="str">
        <f aca="false">TEXT(B420,"yyyy-mm")</f>
        <v>2024-02</v>
      </c>
    </row>
    <row r="421" customFormat="false" ht="15" hidden="false" customHeight="false" outlineLevel="0" collapsed="false">
      <c r="A421" s="7" t="s">
        <v>975</v>
      </c>
      <c r="B421" s="7" t="s">
        <v>960</v>
      </c>
      <c r="C421" s="7" t="s">
        <v>622</v>
      </c>
      <c r="D421" s="7" t="s">
        <v>459</v>
      </c>
      <c r="E421" s="7" t="s">
        <v>460</v>
      </c>
      <c r="F421" s="7" t="s">
        <v>64</v>
      </c>
      <c r="G421" s="7" t="s">
        <v>73</v>
      </c>
      <c r="H421" s="7" t="s">
        <v>211</v>
      </c>
      <c r="I421" s="7" t="s">
        <v>51</v>
      </c>
      <c r="J421" s="7" t="n">
        <v>2</v>
      </c>
      <c r="K421" s="8" t="n">
        <v>1520</v>
      </c>
      <c r="L421" s="9" t="n">
        <v>0.05</v>
      </c>
      <c r="M421" s="8" t="n">
        <v>1771.42</v>
      </c>
      <c r="N421" s="8" t="n">
        <f aca="false">J421*K421*(1-L421)</f>
        <v>2888</v>
      </c>
      <c r="O421" s="8" t="n">
        <f aca="false">N421-M421</f>
        <v>1116.58</v>
      </c>
      <c r="P421" s="10" t="n">
        <f aca="false">IFERROR(O421/N421,0)</f>
        <v>0.386627423822715</v>
      </c>
      <c r="Q421" s="7" t="str">
        <f aca="false">TEXT(B421,"mmm")</f>
        <v>May</v>
      </c>
      <c r="R421" s="7" t="str">
        <f aca="false">TEXT(B421,"yyyy-mm")</f>
        <v>2024-05</v>
      </c>
    </row>
    <row r="422" customFormat="false" ht="15" hidden="false" customHeight="false" outlineLevel="0" collapsed="false">
      <c r="A422" s="7" t="s">
        <v>976</v>
      </c>
      <c r="B422" s="7" t="s">
        <v>753</v>
      </c>
      <c r="C422" s="7" t="s">
        <v>622</v>
      </c>
      <c r="D422" s="7" t="s">
        <v>287</v>
      </c>
      <c r="E422" s="7" t="s">
        <v>288</v>
      </c>
      <c r="F422" s="7" t="s">
        <v>72</v>
      </c>
      <c r="G422" s="7" t="s">
        <v>81</v>
      </c>
      <c r="H422" s="7" t="s">
        <v>82</v>
      </c>
      <c r="I422" s="7" t="s">
        <v>51</v>
      </c>
      <c r="J422" s="7" t="n">
        <v>6</v>
      </c>
      <c r="K422" s="8" t="n">
        <v>1049</v>
      </c>
      <c r="L422" s="9" t="n">
        <v>0.2</v>
      </c>
      <c r="M422" s="8" t="n">
        <v>3972.12</v>
      </c>
      <c r="N422" s="8" t="n">
        <f aca="false">J422*K422*(1-L422)</f>
        <v>5035.2</v>
      </c>
      <c r="O422" s="8" t="n">
        <f aca="false">N422-M422</f>
        <v>1063.08</v>
      </c>
      <c r="P422" s="10" t="n">
        <f aca="false">IFERROR(O422/N422,0)</f>
        <v>0.211129647283127</v>
      </c>
      <c r="Q422" s="7" t="str">
        <f aca="false">TEXT(B422,"mmm")</f>
        <v>Sep</v>
      </c>
      <c r="R422" s="7" t="str">
        <f aca="false">TEXT(B422,"yyyy-mm")</f>
        <v>2024-09</v>
      </c>
    </row>
    <row r="423" customFormat="false" ht="15" hidden="false" customHeight="false" outlineLevel="0" collapsed="false">
      <c r="A423" s="7" t="s">
        <v>977</v>
      </c>
      <c r="B423" s="7" t="s">
        <v>978</v>
      </c>
      <c r="C423" s="7" t="s">
        <v>556</v>
      </c>
      <c r="D423" s="7" t="s">
        <v>55</v>
      </c>
      <c r="E423" s="7" t="s">
        <v>56</v>
      </c>
      <c r="F423" s="7" t="s">
        <v>57</v>
      </c>
      <c r="G423" s="7" t="s">
        <v>49</v>
      </c>
      <c r="H423" s="7" t="s">
        <v>58</v>
      </c>
      <c r="I423" s="7" t="s">
        <v>75</v>
      </c>
      <c r="J423" s="7" t="n">
        <v>4</v>
      </c>
      <c r="K423" s="8" t="n">
        <v>2850</v>
      </c>
      <c r="L423" s="9" t="n">
        <v>0.2</v>
      </c>
      <c r="M423" s="8" t="n">
        <v>8512.6</v>
      </c>
      <c r="N423" s="8" t="n">
        <f aca="false">J423*K423*(1-L423)</f>
        <v>9120</v>
      </c>
      <c r="O423" s="8" t="n">
        <f aca="false">N423-M423</f>
        <v>607.4</v>
      </c>
      <c r="P423" s="10" t="n">
        <f aca="false">IFERROR(O423/N423,0)</f>
        <v>0.0666008771929824</v>
      </c>
      <c r="Q423" s="7" t="str">
        <f aca="false">TEXT(B423,"mmm")</f>
        <v>Dec</v>
      </c>
      <c r="R423" s="7" t="str">
        <f aca="false">TEXT(B423,"yyyy-mm")</f>
        <v>2024-12</v>
      </c>
    </row>
    <row r="424" customFormat="false" ht="15" hidden="false" customHeight="false" outlineLevel="0" collapsed="false">
      <c r="A424" s="7" t="s">
        <v>979</v>
      </c>
      <c r="B424" s="7" t="s">
        <v>980</v>
      </c>
      <c r="C424" s="7" t="s">
        <v>281</v>
      </c>
      <c r="D424" s="7" t="s">
        <v>260</v>
      </c>
      <c r="E424" s="7" t="s">
        <v>261</v>
      </c>
      <c r="F424" s="7" t="s">
        <v>72</v>
      </c>
      <c r="G424" s="7" t="s">
        <v>65</v>
      </c>
      <c r="H424" s="7" t="s">
        <v>66</v>
      </c>
      <c r="I424" s="7" t="s">
        <v>51</v>
      </c>
      <c r="J424" s="7" t="n">
        <v>3</v>
      </c>
      <c r="K424" s="8" t="n">
        <v>4879</v>
      </c>
      <c r="L424" s="9" t="n">
        <v>0.2</v>
      </c>
      <c r="M424" s="8" t="n">
        <v>7301.19</v>
      </c>
      <c r="N424" s="8" t="n">
        <f aca="false">J424*K424*(1-L424)</f>
        <v>11709.6</v>
      </c>
      <c r="O424" s="8" t="n">
        <f aca="false">N424-M424</f>
        <v>4408.41</v>
      </c>
      <c r="P424" s="10" t="n">
        <f aca="false">IFERROR(O424/N424,0)</f>
        <v>0.376478274236524</v>
      </c>
      <c r="Q424" s="7" t="str">
        <f aca="false">TEXT(B424,"mmm")</f>
        <v>Mar</v>
      </c>
      <c r="R424" s="7" t="str">
        <f aca="false">TEXT(B424,"yyyy-mm")</f>
        <v>2024-03</v>
      </c>
    </row>
    <row r="425" customFormat="false" ht="15" hidden="false" customHeight="false" outlineLevel="0" collapsed="false">
      <c r="A425" s="7" t="s">
        <v>981</v>
      </c>
      <c r="B425" s="7" t="s">
        <v>982</v>
      </c>
      <c r="C425" s="7" t="s">
        <v>310</v>
      </c>
      <c r="D425" s="7" t="s">
        <v>215</v>
      </c>
      <c r="E425" s="7" t="s">
        <v>216</v>
      </c>
      <c r="F425" s="7" t="s">
        <v>57</v>
      </c>
      <c r="G425" s="7" t="s">
        <v>49</v>
      </c>
      <c r="H425" s="7" t="s">
        <v>100</v>
      </c>
      <c r="I425" s="7" t="s">
        <v>75</v>
      </c>
      <c r="J425" s="7" t="n">
        <v>3</v>
      </c>
      <c r="K425" s="8" t="n">
        <v>3749</v>
      </c>
      <c r="L425" s="9" t="n">
        <v>0</v>
      </c>
      <c r="M425" s="8" t="n">
        <v>8584.77</v>
      </c>
      <c r="N425" s="8" t="n">
        <f aca="false">J425*K425*(1-L425)</f>
        <v>11247</v>
      </c>
      <c r="O425" s="8" t="n">
        <f aca="false">N425-M425</f>
        <v>2662.23</v>
      </c>
      <c r="P425" s="10" t="n">
        <f aca="false">IFERROR(O425/N425,0)</f>
        <v>0.236705788210189</v>
      </c>
      <c r="Q425" s="7" t="str">
        <f aca="false">TEXT(B425,"mmm")</f>
        <v>Mar</v>
      </c>
      <c r="R425" s="7" t="str">
        <f aca="false">TEXT(B425,"yyyy-mm")</f>
        <v>2024-03</v>
      </c>
    </row>
    <row r="426" customFormat="false" ht="15" hidden="false" customHeight="false" outlineLevel="0" collapsed="false">
      <c r="A426" s="7" t="s">
        <v>983</v>
      </c>
      <c r="B426" s="7" t="s">
        <v>909</v>
      </c>
      <c r="C426" s="7" t="s">
        <v>728</v>
      </c>
      <c r="D426" s="7" t="s">
        <v>176</v>
      </c>
      <c r="E426" s="7" t="s">
        <v>177</v>
      </c>
      <c r="F426" s="7" t="s">
        <v>72</v>
      </c>
      <c r="G426" s="7" t="s">
        <v>81</v>
      </c>
      <c r="H426" s="7" t="s">
        <v>237</v>
      </c>
      <c r="I426" s="7" t="s">
        <v>75</v>
      </c>
      <c r="J426" s="7" t="n">
        <v>5</v>
      </c>
      <c r="K426" s="8" t="n">
        <v>3969</v>
      </c>
      <c r="L426" s="9" t="n">
        <v>0</v>
      </c>
      <c r="M426" s="8" t="n">
        <v>10739.85</v>
      </c>
      <c r="N426" s="8" t="n">
        <f aca="false">J426*K426*(1-L426)</f>
        <v>19845</v>
      </c>
      <c r="O426" s="8" t="n">
        <f aca="false">N426-M426</f>
        <v>9105.15</v>
      </c>
      <c r="P426" s="10" t="n">
        <f aca="false">IFERROR(O426/N426,0)</f>
        <v>0.458813303099017</v>
      </c>
      <c r="Q426" s="7" t="str">
        <f aca="false">TEXT(B426,"mmm")</f>
        <v>Feb</v>
      </c>
      <c r="R426" s="7" t="str">
        <f aca="false">TEXT(B426,"yyyy-mm")</f>
        <v>2024-02</v>
      </c>
    </row>
    <row r="427" customFormat="false" ht="15" hidden="false" customHeight="false" outlineLevel="0" collapsed="false">
      <c r="A427" s="7" t="s">
        <v>984</v>
      </c>
      <c r="B427" s="7" t="s">
        <v>190</v>
      </c>
      <c r="C427" s="7" t="s">
        <v>483</v>
      </c>
      <c r="D427" s="7" t="s">
        <v>423</v>
      </c>
      <c r="E427" s="7" t="s">
        <v>424</v>
      </c>
      <c r="F427" s="7" t="s">
        <v>48</v>
      </c>
      <c r="G427" s="7" t="s">
        <v>81</v>
      </c>
      <c r="H427" s="7" t="s">
        <v>109</v>
      </c>
      <c r="I427" s="7" t="s">
        <v>51</v>
      </c>
      <c r="J427" s="7" t="n">
        <v>2</v>
      </c>
      <c r="K427" s="8" t="n">
        <v>5039</v>
      </c>
      <c r="L427" s="9" t="n">
        <v>0</v>
      </c>
      <c r="M427" s="8" t="n">
        <v>3892.72</v>
      </c>
      <c r="N427" s="8" t="n">
        <f aca="false">J427*K427*(1-L427)</f>
        <v>10078</v>
      </c>
      <c r="O427" s="8" t="n">
        <f aca="false">N427-M427</f>
        <v>6185.28</v>
      </c>
      <c r="P427" s="10" t="n">
        <f aca="false">IFERROR(O427/N427,0)</f>
        <v>0.613740821591586</v>
      </c>
      <c r="Q427" s="7" t="str">
        <f aca="false">TEXT(B427,"mmm")</f>
        <v>Sep</v>
      </c>
      <c r="R427" s="7" t="str">
        <f aca="false">TEXT(B427,"yyyy-mm")</f>
        <v>2024-09</v>
      </c>
    </row>
    <row r="428" customFormat="false" ht="15" hidden="false" customHeight="false" outlineLevel="0" collapsed="false">
      <c r="A428" s="7" t="s">
        <v>985</v>
      </c>
      <c r="B428" s="7" t="s">
        <v>986</v>
      </c>
      <c r="C428" s="7" t="s">
        <v>392</v>
      </c>
      <c r="D428" s="7" t="s">
        <v>119</v>
      </c>
      <c r="E428" s="7" t="s">
        <v>120</v>
      </c>
      <c r="F428" s="7" t="s">
        <v>88</v>
      </c>
      <c r="G428" s="7" t="s">
        <v>73</v>
      </c>
      <c r="H428" s="7" t="s">
        <v>266</v>
      </c>
      <c r="I428" s="7" t="s">
        <v>51</v>
      </c>
      <c r="J428" s="7" t="n">
        <v>2</v>
      </c>
      <c r="K428" s="8" t="n">
        <v>620</v>
      </c>
      <c r="L428" s="9" t="n">
        <v>0</v>
      </c>
      <c r="M428" s="8" t="n">
        <v>909.1</v>
      </c>
      <c r="N428" s="8" t="n">
        <f aca="false">J428*K428*(1-L428)</f>
        <v>1240</v>
      </c>
      <c r="O428" s="8" t="n">
        <f aca="false">N428-M428</f>
        <v>330.9</v>
      </c>
      <c r="P428" s="10" t="n">
        <f aca="false">IFERROR(O428/N428,0)</f>
        <v>0.266854838709677</v>
      </c>
      <c r="Q428" s="7" t="str">
        <f aca="false">TEXT(B428,"mmm")</f>
        <v>May</v>
      </c>
      <c r="R428" s="7" t="str">
        <f aca="false">TEXT(B428,"yyyy-mm")</f>
        <v>2024-05</v>
      </c>
    </row>
    <row r="429" customFormat="false" ht="15" hidden="false" customHeight="false" outlineLevel="0" collapsed="false">
      <c r="A429" s="7" t="s">
        <v>987</v>
      </c>
      <c r="B429" s="7" t="s">
        <v>988</v>
      </c>
      <c r="C429" s="7" t="s">
        <v>54</v>
      </c>
      <c r="D429" s="7" t="s">
        <v>326</v>
      </c>
      <c r="E429" s="7" t="s">
        <v>327</v>
      </c>
      <c r="F429" s="7" t="s">
        <v>57</v>
      </c>
      <c r="G429" s="7" t="s">
        <v>73</v>
      </c>
      <c r="H429" s="7" t="s">
        <v>211</v>
      </c>
      <c r="I429" s="7" t="s">
        <v>75</v>
      </c>
      <c r="J429" s="7" t="n">
        <v>1</v>
      </c>
      <c r="K429" s="8" t="n">
        <v>5950</v>
      </c>
      <c r="L429" s="9" t="n">
        <v>0.2</v>
      </c>
      <c r="M429" s="8" t="n">
        <v>2416.94</v>
      </c>
      <c r="N429" s="8" t="n">
        <f aca="false">J429*K429*(1-L429)</f>
        <v>4760</v>
      </c>
      <c r="O429" s="8" t="n">
        <f aca="false">N429-M429</f>
        <v>2343.06</v>
      </c>
      <c r="P429" s="10" t="n">
        <f aca="false">IFERROR(O429/N429,0)</f>
        <v>0.492239495798319</v>
      </c>
      <c r="Q429" s="7" t="str">
        <f aca="false">TEXT(B429,"mmm")</f>
        <v>Jun</v>
      </c>
      <c r="R429" s="7" t="str">
        <f aca="false">TEXT(B429,"yyyy-mm")</f>
        <v>2024-06</v>
      </c>
    </row>
    <row r="430" customFormat="false" ht="15" hidden="false" customHeight="false" outlineLevel="0" collapsed="false">
      <c r="A430" s="7" t="s">
        <v>989</v>
      </c>
      <c r="B430" s="7" t="s">
        <v>694</v>
      </c>
      <c r="C430" s="7" t="s">
        <v>512</v>
      </c>
      <c r="D430" s="7" t="s">
        <v>314</v>
      </c>
      <c r="E430" s="7" t="s">
        <v>315</v>
      </c>
      <c r="F430" s="7" t="s">
        <v>64</v>
      </c>
      <c r="G430" s="7" t="s">
        <v>81</v>
      </c>
      <c r="H430" s="7" t="s">
        <v>186</v>
      </c>
      <c r="I430" s="7" t="s">
        <v>51</v>
      </c>
      <c r="J430" s="7" t="n">
        <v>3</v>
      </c>
      <c r="K430" s="8" t="n">
        <v>4059</v>
      </c>
      <c r="L430" s="9" t="n">
        <v>0</v>
      </c>
      <c r="M430" s="8" t="n">
        <v>6838.62</v>
      </c>
      <c r="N430" s="8" t="n">
        <f aca="false">J430*K430*(1-L430)</f>
        <v>12177</v>
      </c>
      <c r="O430" s="8" t="n">
        <f aca="false">N430-M430</f>
        <v>5338.38</v>
      </c>
      <c r="P430" s="10" t="n">
        <f aca="false">IFERROR(O430/N430,0)</f>
        <v>0.43839862034984</v>
      </c>
      <c r="Q430" s="7" t="str">
        <f aca="false">TEXT(B430,"mmm")</f>
        <v>May</v>
      </c>
      <c r="R430" s="7" t="str">
        <f aca="false">TEXT(B430,"yyyy-mm")</f>
        <v>2024-05</v>
      </c>
    </row>
    <row r="431" customFormat="false" ht="15" hidden="false" customHeight="false" outlineLevel="0" collapsed="false">
      <c r="A431" s="7" t="s">
        <v>990</v>
      </c>
      <c r="B431" s="7" t="s">
        <v>531</v>
      </c>
      <c r="C431" s="7" t="s">
        <v>935</v>
      </c>
      <c r="D431" s="7" t="s">
        <v>140</v>
      </c>
      <c r="E431" s="7" t="s">
        <v>141</v>
      </c>
      <c r="F431" s="7" t="s">
        <v>57</v>
      </c>
      <c r="G431" s="7" t="s">
        <v>73</v>
      </c>
      <c r="H431" s="7" t="s">
        <v>115</v>
      </c>
      <c r="I431" s="7" t="s">
        <v>75</v>
      </c>
      <c r="J431" s="7" t="n">
        <v>3</v>
      </c>
      <c r="K431" s="8" t="n">
        <v>1440</v>
      </c>
      <c r="L431" s="9" t="n">
        <v>0</v>
      </c>
      <c r="M431" s="8" t="n">
        <v>2911.17</v>
      </c>
      <c r="N431" s="8" t="n">
        <f aca="false">J431*K431*(1-L431)</f>
        <v>4320</v>
      </c>
      <c r="O431" s="8" t="n">
        <f aca="false">N431-M431</f>
        <v>1408.83</v>
      </c>
      <c r="P431" s="10" t="n">
        <f aca="false">IFERROR(O431/N431,0)</f>
        <v>0.326118055555556</v>
      </c>
      <c r="Q431" s="7" t="str">
        <f aca="false">TEXT(B431,"mmm")</f>
        <v>Jan</v>
      </c>
      <c r="R431" s="7" t="str">
        <f aca="false">TEXT(B431,"yyyy-mm")</f>
        <v>2024-01</v>
      </c>
    </row>
    <row r="432" customFormat="false" ht="15" hidden="false" customHeight="false" outlineLevel="0" collapsed="false">
      <c r="A432" s="7" t="s">
        <v>991</v>
      </c>
      <c r="B432" s="7" t="s">
        <v>661</v>
      </c>
      <c r="C432" s="7" t="s">
        <v>620</v>
      </c>
      <c r="D432" s="7" t="s">
        <v>113</v>
      </c>
      <c r="E432" s="7" t="s">
        <v>114</v>
      </c>
      <c r="F432" s="7" t="s">
        <v>57</v>
      </c>
      <c r="G432" s="7" t="s">
        <v>73</v>
      </c>
      <c r="H432" s="7" t="s">
        <v>115</v>
      </c>
      <c r="I432" s="7" t="s">
        <v>51</v>
      </c>
      <c r="J432" s="7" t="n">
        <v>2</v>
      </c>
      <c r="K432" s="8" t="n">
        <v>3069</v>
      </c>
      <c r="L432" s="9" t="n">
        <v>0.1</v>
      </c>
      <c r="M432" s="8" t="n">
        <v>4584.16</v>
      </c>
      <c r="N432" s="8" t="n">
        <f aca="false">J432*K432*(1-L432)</f>
        <v>5524.2</v>
      </c>
      <c r="O432" s="8" t="n">
        <f aca="false">N432-M432</f>
        <v>940.04</v>
      </c>
      <c r="P432" s="10" t="n">
        <f aca="false">IFERROR(O432/N432,0)</f>
        <v>0.170167626081605</v>
      </c>
      <c r="Q432" s="7" t="str">
        <f aca="false">TEXT(B432,"mmm")</f>
        <v>Jan</v>
      </c>
      <c r="R432" s="7" t="str">
        <f aca="false">TEXT(B432,"yyyy-mm")</f>
        <v>2024-01</v>
      </c>
    </row>
    <row r="433" customFormat="false" ht="15" hidden="false" customHeight="false" outlineLevel="0" collapsed="false">
      <c r="A433" s="7" t="s">
        <v>992</v>
      </c>
      <c r="B433" s="7" t="s">
        <v>708</v>
      </c>
      <c r="C433" s="7" t="s">
        <v>112</v>
      </c>
      <c r="D433" s="7" t="s">
        <v>206</v>
      </c>
      <c r="E433" s="7" t="s">
        <v>207</v>
      </c>
      <c r="F433" s="7" t="s">
        <v>88</v>
      </c>
      <c r="G433" s="7" t="s">
        <v>73</v>
      </c>
      <c r="H433" s="7" t="s">
        <v>115</v>
      </c>
      <c r="I433" s="7" t="s">
        <v>51</v>
      </c>
      <c r="J433" s="7" t="n">
        <v>4</v>
      </c>
      <c r="K433" s="8" t="n">
        <v>1029</v>
      </c>
      <c r="L433" s="9" t="n">
        <v>0.05</v>
      </c>
      <c r="M433" s="8" t="n">
        <v>2514.48</v>
      </c>
      <c r="N433" s="8" t="n">
        <f aca="false">J433*K433*(1-L433)</f>
        <v>3910.2</v>
      </c>
      <c r="O433" s="8" t="n">
        <f aca="false">N433-M433</f>
        <v>1395.72</v>
      </c>
      <c r="P433" s="10" t="n">
        <f aca="false">IFERROR(O433/N433,0)</f>
        <v>0.356943378855302</v>
      </c>
      <c r="Q433" s="7" t="str">
        <f aca="false">TEXT(B433,"mmm")</f>
        <v>Apr</v>
      </c>
      <c r="R433" s="7" t="str">
        <f aca="false">TEXT(B433,"yyyy-mm")</f>
        <v>2024-04</v>
      </c>
    </row>
    <row r="434" customFormat="false" ht="15" hidden="false" customHeight="false" outlineLevel="0" collapsed="false">
      <c r="A434" s="7" t="s">
        <v>993</v>
      </c>
      <c r="B434" s="7" t="s">
        <v>334</v>
      </c>
      <c r="C434" s="7" t="s">
        <v>994</v>
      </c>
      <c r="D434" s="7" t="s">
        <v>343</v>
      </c>
      <c r="E434" s="7" t="s">
        <v>344</v>
      </c>
      <c r="F434" s="7" t="s">
        <v>88</v>
      </c>
      <c r="G434" s="7" t="s">
        <v>49</v>
      </c>
      <c r="H434" s="7" t="s">
        <v>50</v>
      </c>
      <c r="I434" s="7" t="s">
        <v>51</v>
      </c>
      <c r="J434" s="7" t="n">
        <v>2</v>
      </c>
      <c r="K434" s="8" t="n">
        <v>2169</v>
      </c>
      <c r="L434" s="9" t="n">
        <v>0</v>
      </c>
      <c r="M434" s="8" t="n">
        <v>2987.8</v>
      </c>
      <c r="N434" s="8" t="n">
        <f aca="false">J434*K434*(1-L434)</f>
        <v>4338</v>
      </c>
      <c r="O434" s="8" t="n">
        <f aca="false">N434-M434</f>
        <v>1350.2</v>
      </c>
      <c r="P434" s="10" t="n">
        <f aca="false">IFERROR(O434/N434,0)</f>
        <v>0.311249423697556</v>
      </c>
      <c r="Q434" s="7" t="str">
        <f aca="false">TEXT(B434,"mmm")</f>
        <v>Jun</v>
      </c>
      <c r="R434" s="7" t="str">
        <f aca="false">TEXT(B434,"yyyy-mm")</f>
        <v>2024-06</v>
      </c>
    </row>
    <row r="435" customFormat="false" ht="15" hidden="false" customHeight="false" outlineLevel="0" collapsed="false">
      <c r="A435" s="7" t="s">
        <v>995</v>
      </c>
      <c r="B435" s="7" t="s">
        <v>436</v>
      </c>
      <c r="C435" s="7" t="s">
        <v>732</v>
      </c>
      <c r="D435" s="7" t="s">
        <v>249</v>
      </c>
      <c r="E435" s="7" t="s">
        <v>250</v>
      </c>
      <c r="F435" s="7" t="s">
        <v>57</v>
      </c>
      <c r="G435" s="7" t="s">
        <v>73</v>
      </c>
      <c r="H435" s="7" t="s">
        <v>266</v>
      </c>
      <c r="I435" s="7" t="s">
        <v>51</v>
      </c>
      <c r="J435" s="7" t="n">
        <v>3</v>
      </c>
      <c r="K435" s="8" t="n">
        <v>1730</v>
      </c>
      <c r="L435" s="9" t="n">
        <v>0.05</v>
      </c>
      <c r="M435" s="8" t="n">
        <v>2647.32</v>
      </c>
      <c r="N435" s="8" t="n">
        <f aca="false">J435*K435*(1-L435)</f>
        <v>4930.5</v>
      </c>
      <c r="O435" s="8" t="n">
        <f aca="false">N435-M435</f>
        <v>2283.18</v>
      </c>
      <c r="P435" s="10" t="n">
        <f aca="false">IFERROR(O435/N435,0)</f>
        <v>0.46307271067843</v>
      </c>
      <c r="Q435" s="7" t="str">
        <f aca="false">TEXT(B435,"mmm")</f>
        <v>May</v>
      </c>
      <c r="R435" s="7" t="str">
        <f aca="false">TEXT(B435,"yyyy-mm")</f>
        <v>2024-05</v>
      </c>
    </row>
    <row r="436" customFormat="false" ht="15" hidden="false" customHeight="false" outlineLevel="0" collapsed="false">
      <c r="A436" s="7" t="s">
        <v>996</v>
      </c>
      <c r="B436" s="7" t="s">
        <v>847</v>
      </c>
      <c r="C436" s="7" t="s">
        <v>702</v>
      </c>
      <c r="D436" s="7" t="s">
        <v>343</v>
      </c>
      <c r="E436" s="7" t="s">
        <v>344</v>
      </c>
      <c r="F436" s="7" t="s">
        <v>88</v>
      </c>
      <c r="G436" s="7" t="s">
        <v>49</v>
      </c>
      <c r="H436" s="7" t="s">
        <v>50</v>
      </c>
      <c r="I436" s="7" t="s">
        <v>75</v>
      </c>
      <c r="J436" s="7" t="n">
        <v>4</v>
      </c>
      <c r="K436" s="8" t="n">
        <v>2169</v>
      </c>
      <c r="L436" s="9" t="n">
        <v>0</v>
      </c>
      <c r="M436" s="8" t="n">
        <v>5975.6</v>
      </c>
      <c r="N436" s="8" t="n">
        <f aca="false">J436*K436*(1-L436)</f>
        <v>8676</v>
      </c>
      <c r="O436" s="8" t="n">
        <f aca="false">N436-M436</f>
        <v>2700.4</v>
      </c>
      <c r="P436" s="10" t="n">
        <f aca="false">IFERROR(O436/N436,0)</f>
        <v>0.311249423697556</v>
      </c>
      <c r="Q436" s="7" t="str">
        <f aca="false">TEXT(B436,"mmm")</f>
        <v>May</v>
      </c>
      <c r="R436" s="7" t="str">
        <f aca="false">TEXT(B436,"yyyy-mm")</f>
        <v>2024-05</v>
      </c>
    </row>
    <row r="437" customFormat="false" ht="15" hidden="false" customHeight="false" outlineLevel="0" collapsed="false">
      <c r="A437" s="7" t="s">
        <v>997</v>
      </c>
      <c r="B437" s="7" t="s">
        <v>998</v>
      </c>
      <c r="C437" s="7" t="s">
        <v>349</v>
      </c>
      <c r="D437" s="7" t="s">
        <v>181</v>
      </c>
      <c r="E437" s="7" t="s">
        <v>182</v>
      </c>
      <c r="F437" s="7" t="s">
        <v>88</v>
      </c>
      <c r="G437" s="7" t="s">
        <v>81</v>
      </c>
      <c r="H437" s="7" t="s">
        <v>82</v>
      </c>
      <c r="I437" s="7" t="s">
        <v>51</v>
      </c>
      <c r="J437" s="7" t="n">
        <v>6</v>
      </c>
      <c r="K437" s="8" t="n">
        <v>4489</v>
      </c>
      <c r="L437" s="9" t="n">
        <v>0</v>
      </c>
      <c r="M437" s="8" t="n">
        <v>11733.42</v>
      </c>
      <c r="N437" s="8" t="n">
        <f aca="false">J437*K437*(1-L437)</f>
        <v>26934</v>
      </c>
      <c r="O437" s="8" t="n">
        <f aca="false">N437-M437</f>
        <v>15200.58</v>
      </c>
      <c r="P437" s="10" t="n">
        <f aca="false">IFERROR(O437/N437,0)</f>
        <v>0.564364000891067</v>
      </c>
      <c r="Q437" s="7" t="str">
        <f aca="false">TEXT(B437,"mmm")</f>
        <v>Dec</v>
      </c>
      <c r="R437" s="7" t="str">
        <f aca="false">TEXT(B437,"yyyy-mm")</f>
        <v>2024-12</v>
      </c>
    </row>
    <row r="438" customFormat="false" ht="15" hidden="false" customHeight="false" outlineLevel="0" collapsed="false">
      <c r="A438" s="7" t="s">
        <v>999</v>
      </c>
      <c r="B438" s="7" t="s">
        <v>514</v>
      </c>
      <c r="C438" s="7" t="s">
        <v>1000</v>
      </c>
      <c r="D438" s="7" t="s">
        <v>181</v>
      </c>
      <c r="E438" s="7" t="s">
        <v>182</v>
      </c>
      <c r="F438" s="7" t="s">
        <v>88</v>
      </c>
      <c r="G438" s="7" t="s">
        <v>73</v>
      </c>
      <c r="H438" s="7" t="s">
        <v>74</v>
      </c>
      <c r="I438" s="7" t="s">
        <v>51</v>
      </c>
      <c r="J438" s="7" t="n">
        <v>1</v>
      </c>
      <c r="K438" s="8" t="n">
        <v>4489</v>
      </c>
      <c r="L438" s="9" t="n">
        <v>0.15</v>
      </c>
      <c r="M438" s="8" t="n">
        <v>1955.57</v>
      </c>
      <c r="N438" s="8" t="n">
        <f aca="false">J438*K438*(1-L438)</f>
        <v>3815.65</v>
      </c>
      <c r="O438" s="8" t="n">
        <f aca="false">N438-M438</f>
        <v>1860.08</v>
      </c>
      <c r="P438" s="10" t="n">
        <f aca="false">IFERROR(O438/N438,0)</f>
        <v>0.487487059871844</v>
      </c>
      <c r="Q438" s="7" t="str">
        <f aca="false">TEXT(B438,"mmm")</f>
        <v>Jul</v>
      </c>
      <c r="R438" s="7" t="str">
        <f aca="false">TEXT(B438,"yyyy-mm")</f>
        <v>2024-07</v>
      </c>
    </row>
    <row r="439" customFormat="false" ht="15" hidden="false" customHeight="false" outlineLevel="0" collapsed="false">
      <c r="A439" s="7" t="s">
        <v>1001</v>
      </c>
      <c r="B439" s="7" t="s">
        <v>1002</v>
      </c>
      <c r="C439" s="7" t="s">
        <v>416</v>
      </c>
      <c r="D439" s="7" t="s">
        <v>62</v>
      </c>
      <c r="E439" s="7" t="s">
        <v>63</v>
      </c>
      <c r="F439" s="7" t="s">
        <v>64</v>
      </c>
      <c r="G439" s="7" t="s">
        <v>73</v>
      </c>
      <c r="H439" s="7" t="s">
        <v>74</v>
      </c>
      <c r="I439" s="7" t="s">
        <v>51</v>
      </c>
      <c r="J439" s="7" t="n">
        <v>7</v>
      </c>
      <c r="K439" s="8" t="n">
        <v>7079</v>
      </c>
      <c r="L439" s="9" t="n">
        <v>0</v>
      </c>
      <c r="M439" s="8" t="n">
        <v>19178.46</v>
      </c>
      <c r="N439" s="8" t="n">
        <f aca="false">J439*K439*(1-L439)</f>
        <v>49553</v>
      </c>
      <c r="O439" s="8" t="n">
        <f aca="false">N439-M439</f>
        <v>30374.54</v>
      </c>
      <c r="P439" s="10" t="n">
        <f aca="false">IFERROR(O439/N439,0)</f>
        <v>0.612970758581721</v>
      </c>
      <c r="Q439" s="7" t="str">
        <f aca="false">TEXT(B439,"mmm")</f>
        <v>Sep</v>
      </c>
      <c r="R439" s="7" t="str">
        <f aca="false">TEXT(B439,"yyyy-mm")</f>
        <v>2024-09</v>
      </c>
    </row>
    <row r="440" customFormat="false" ht="15" hidden="false" customHeight="false" outlineLevel="0" collapsed="false">
      <c r="A440" s="7" t="s">
        <v>1003</v>
      </c>
      <c r="B440" s="7" t="s">
        <v>200</v>
      </c>
      <c r="C440" s="7" t="s">
        <v>659</v>
      </c>
      <c r="D440" s="7" t="s">
        <v>124</v>
      </c>
      <c r="E440" s="7" t="s">
        <v>125</v>
      </c>
      <c r="F440" s="7" t="s">
        <v>64</v>
      </c>
      <c r="G440" s="7" t="s">
        <v>49</v>
      </c>
      <c r="H440" s="7" t="s">
        <v>58</v>
      </c>
      <c r="I440" s="7" t="s">
        <v>75</v>
      </c>
      <c r="J440" s="7" t="n">
        <v>9</v>
      </c>
      <c r="K440" s="8" t="n">
        <v>1349</v>
      </c>
      <c r="L440" s="9" t="n">
        <v>0.05</v>
      </c>
      <c r="M440" s="8" t="n">
        <v>6276.6</v>
      </c>
      <c r="N440" s="8" t="n">
        <f aca="false">J440*K440*(1-L440)</f>
        <v>11533.95</v>
      </c>
      <c r="O440" s="8" t="n">
        <f aca="false">N440-M440</f>
        <v>5257.35</v>
      </c>
      <c r="P440" s="10" t="n">
        <f aca="false">IFERROR(O440/N440,0)</f>
        <v>0.455815223752487</v>
      </c>
      <c r="Q440" s="7" t="str">
        <f aca="false">TEXT(B440,"mmm")</f>
        <v>May</v>
      </c>
      <c r="R440" s="7" t="str">
        <f aca="false">TEXT(B440,"yyyy-mm")</f>
        <v>2024-05</v>
      </c>
    </row>
    <row r="441" customFormat="false" ht="15" hidden="false" customHeight="false" outlineLevel="0" collapsed="false">
      <c r="A441" s="7" t="s">
        <v>1004</v>
      </c>
      <c r="B441" s="7" t="s">
        <v>634</v>
      </c>
      <c r="C441" s="7" t="s">
        <v>61</v>
      </c>
      <c r="D441" s="7" t="s">
        <v>170</v>
      </c>
      <c r="E441" s="7" t="s">
        <v>171</v>
      </c>
      <c r="F441" s="7" t="s">
        <v>88</v>
      </c>
      <c r="G441" s="7" t="s">
        <v>49</v>
      </c>
      <c r="H441" s="7" t="s">
        <v>50</v>
      </c>
      <c r="I441" s="7" t="s">
        <v>51</v>
      </c>
      <c r="J441" s="7" t="n">
        <v>9</v>
      </c>
      <c r="K441" s="8" t="n">
        <v>5749</v>
      </c>
      <c r="L441" s="9" t="n">
        <v>0.1</v>
      </c>
      <c r="M441" s="8" t="n">
        <v>28419.39</v>
      </c>
      <c r="N441" s="8" t="n">
        <f aca="false">J441*K441*(1-L441)</f>
        <v>46566.9</v>
      </c>
      <c r="O441" s="8" t="n">
        <f aca="false">N441-M441</f>
        <v>18147.51</v>
      </c>
      <c r="P441" s="10" t="n">
        <f aca="false">IFERROR(O441/N441,0)</f>
        <v>0.389708355076245</v>
      </c>
      <c r="Q441" s="7" t="str">
        <f aca="false">TEXT(B441,"mmm")</f>
        <v>Oct</v>
      </c>
      <c r="R441" s="7" t="str">
        <f aca="false">TEXT(B441,"yyyy-mm")</f>
        <v>2024-10</v>
      </c>
    </row>
    <row r="442" customFormat="false" ht="15" hidden="false" customHeight="false" outlineLevel="0" collapsed="false">
      <c r="A442" s="7" t="s">
        <v>1005</v>
      </c>
      <c r="B442" s="7" t="s">
        <v>841</v>
      </c>
      <c r="C442" s="7" t="s">
        <v>180</v>
      </c>
      <c r="D442" s="7" t="s">
        <v>260</v>
      </c>
      <c r="E442" s="7" t="s">
        <v>261</v>
      </c>
      <c r="F442" s="7" t="s">
        <v>72</v>
      </c>
      <c r="G442" s="7" t="s">
        <v>49</v>
      </c>
      <c r="H442" s="7" t="s">
        <v>100</v>
      </c>
      <c r="I442" s="7" t="s">
        <v>75</v>
      </c>
      <c r="J442" s="7" t="n">
        <v>3</v>
      </c>
      <c r="K442" s="8" t="n">
        <v>4879</v>
      </c>
      <c r="L442" s="9" t="n">
        <v>0.1</v>
      </c>
      <c r="M442" s="8" t="n">
        <v>7301.19</v>
      </c>
      <c r="N442" s="8" t="n">
        <f aca="false">J442*K442*(1-L442)</f>
        <v>13173.3</v>
      </c>
      <c r="O442" s="8" t="n">
        <f aca="false">N442-M442</f>
        <v>5872.11</v>
      </c>
      <c r="P442" s="10" t="n">
        <f aca="false">IFERROR(O442/N442,0)</f>
        <v>0.445758465988021</v>
      </c>
      <c r="Q442" s="7" t="str">
        <f aca="false">TEXT(B442,"mmm")</f>
        <v>Aug</v>
      </c>
      <c r="R442" s="7" t="str">
        <f aca="false">TEXT(B442,"yyyy-mm")</f>
        <v>2024-08</v>
      </c>
    </row>
    <row r="443" customFormat="false" ht="15" hidden="false" customHeight="false" outlineLevel="0" collapsed="false">
      <c r="A443" s="7" t="s">
        <v>1006</v>
      </c>
      <c r="B443" s="7" t="s">
        <v>418</v>
      </c>
      <c r="C443" s="7" t="s">
        <v>676</v>
      </c>
      <c r="D443" s="7" t="s">
        <v>215</v>
      </c>
      <c r="E443" s="7" t="s">
        <v>216</v>
      </c>
      <c r="F443" s="7" t="s">
        <v>57</v>
      </c>
      <c r="G443" s="7" t="s">
        <v>81</v>
      </c>
      <c r="H443" s="7" t="s">
        <v>186</v>
      </c>
      <c r="I443" s="7" t="s">
        <v>51</v>
      </c>
      <c r="J443" s="7" t="n">
        <v>4</v>
      </c>
      <c r="K443" s="8" t="n">
        <v>3749</v>
      </c>
      <c r="L443" s="9" t="n">
        <v>0</v>
      </c>
      <c r="M443" s="8" t="n">
        <v>11446.36</v>
      </c>
      <c r="N443" s="8" t="n">
        <f aca="false">J443*K443*(1-L443)</f>
        <v>14996</v>
      </c>
      <c r="O443" s="8" t="n">
        <f aca="false">N443-M443</f>
        <v>3549.64</v>
      </c>
      <c r="P443" s="10" t="n">
        <f aca="false">IFERROR(O443/N443,0)</f>
        <v>0.236705788210189</v>
      </c>
      <c r="Q443" s="7" t="str">
        <f aca="false">TEXT(B443,"mmm")</f>
        <v>Jul</v>
      </c>
      <c r="R443" s="7" t="str">
        <f aca="false">TEXT(B443,"yyyy-mm")</f>
        <v>2024-07</v>
      </c>
    </row>
    <row r="444" customFormat="false" ht="15" hidden="false" customHeight="false" outlineLevel="0" collapsed="false">
      <c r="A444" s="7" t="s">
        <v>1007</v>
      </c>
      <c r="B444" s="7" t="s">
        <v>1008</v>
      </c>
      <c r="C444" s="7" t="s">
        <v>432</v>
      </c>
      <c r="D444" s="7" t="s">
        <v>343</v>
      </c>
      <c r="E444" s="7" t="s">
        <v>344</v>
      </c>
      <c r="F444" s="7" t="s">
        <v>88</v>
      </c>
      <c r="G444" s="7" t="s">
        <v>65</v>
      </c>
      <c r="H444" s="7" t="s">
        <v>66</v>
      </c>
      <c r="I444" s="7" t="s">
        <v>51</v>
      </c>
      <c r="J444" s="7" t="n">
        <v>4</v>
      </c>
      <c r="K444" s="8" t="n">
        <v>2169</v>
      </c>
      <c r="L444" s="9" t="n">
        <v>0.15</v>
      </c>
      <c r="M444" s="8" t="n">
        <v>5975.6</v>
      </c>
      <c r="N444" s="8" t="n">
        <f aca="false">J444*K444*(1-L444)</f>
        <v>7374.6</v>
      </c>
      <c r="O444" s="8" t="n">
        <f aca="false">N444-M444</f>
        <v>1399</v>
      </c>
      <c r="P444" s="10" t="n">
        <f aca="false">IFERROR(O444/N444,0)</f>
        <v>0.189705204350066</v>
      </c>
      <c r="Q444" s="7" t="str">
        <f aca="false">TEXT(B444,"mmm")</f>
        <v>Mar</v>
      </c>
      <c r="R444" s="7" t="str">
        <f aca="false">TEXT(B444,"yyyy-mm")</f>
        <v>2024-03</v>
      </c>
    </row>
    <row r="445" customFormat="false" ht="15" hidden="false" customHeight="false" outlineLevel="0" collapsed="false">
      <c r="A445" s="7" t="s">
        <v>1009</v>
      </c>
      <c r="B445" s="7" t="s">
        <v>375</v>
      </c>
      <c r="C445" s="7" t="s">
        <v>1010</v>
      </c>
      <c r="D445" s="7" t="s">
        <v>55</v>
      </c>
      <c r="E445" s="7" t="s">
        <v>56</v>
      </c>
      <c r="F445" s="7" t="s">
        <v>57</v>
      </c>
      <c r="G445" s="7" t="s">
        <v>81</v>
      </c>
      <c r="H445" s="7" t="s">
        <v>186</v>
      </c>
      <c r="I445" s="7" t="s">
        <v>75</v>
      </c>
      <c r="J445" s="7" t="n">
        <v>9</v>
      </c>
      <c r="K445" s="8" t="n">
        <v>2850</v>
      </c>
      <c r="L445" s="9" t="n">
        <v>0</v>
      </c>
      <c r="M445" s="8" t="n">
        <v>19153.35</v>
      </c>
      <c r="N445" s="8" t="n">
        <f aca="false">J445*K445*(1-L445)</f>
        <v>25650</v>
      </c>
      <c r="O445" s="8" t="n">
        <f aca="false">N445-M445</f>
        <v>6496.65</v>
      </c>
      <c r="P445" s="10" t="n">
        <f aca="false">IFERROR(O445/N445,0)</f>
        <v>0.253280701754386</v>
      </c>
      <c r="Q445" s="7" t="str">
        <f aca="false">TEXT(B445,"mmm")</f>
        <v>Nov</v>
      </c>
      <c r="R445" s="7" t="str">
        <f aca="false">TEXT(B445,"yyyy-mm")</f>
        <v>2024-11</v>
      </c>
    </row>
    <row r="446" customFormat="false" ht="15" hidden="false" customHeight="false" outlineLevel="0" collapsed="false">
      <c r="A446" s="7" t="s">
        <v>1011</v>
      </c>
      <c r="B446" s="7" t="s">
        <v>1012</v>
      </c>
      <c r="C446" s="7" t="s">
        <v>368</v>
      </c>
      <c r="D446" s="7" t="s">
        <v>459</v>
      </c>
      <c r="E446" s="7" t="s">
        <v>460</v>
      </c>
      <c r="F446" s="7" t="s">
        <v>64</v>
      </c>
      <c r="G446" s="7" t="s">
        <v>49</v>
      </c>
      <c r="H446" s="7" t="s">
        <v>58</v>
      </c>
      <c r="I446" s="7" t="s">
        <v>75</v>
      </c>
      <c r="J446" s="7" t="n">
        <v>3</v>
      </c>
      <c r="K446" s="8" t="n">
        <v>1520</v>
      </c>
      <c r="L446" s="9" t="n">
        <v>0.2</v>
      </c>
      <c r="M446" s="8" t="n">
        <v>2657.13</v>
      </c>
      <c r="N446" s="8" t="n">
        <f aca="false">J446*K446*(1-L446)</f>
        <v>3648</v>
      </c>
      <c r="O446" s="8" t="n">
        <f aca="false">N446-M446</f>
        <v>990.87</v>
      </c>
      <c r="P446" s="10" t="n">
        <f aca="false">IFERROR(O446/N446,0)</f>
        <v>0.271620065789474</v>
      </c>
      <c r="Q446" s="7" t="str">
        <f aca="false">TEXT(B446,"mmm")</f>
        <v>Oct</v>
      </c>
      <c r="R446" s="7" t="str">
        <f aca="false">TEXT(B446,"yyyy-mm")</f>
        <v>2024-10</v>
      </c>
    </row>
    <row r="447" customFormat="false" ht="15" hidden="false" customHeight="false" outlineLevel="0" collapsed="false">
      <c r="A447" s="7" t="s">
        <v>1013</v>
      </c>
      <c r="B447" s="7" t="s">
        <v>1014</v>
      </c>
      <c r="C447" s="7" t="s">
        <v>191</v>
      </c>
      <c r="D447" s="7" t="s">
        <v>86</v>
      </c>
      <c r="E447" s="7" t="s">
        <v>87</v>
      </c>
      <c r="F447" s="7" t="s">
        <v>88</v>
      </c>
      <c r="G447" s="7" t="s">
        <v>73</v>
      </c>
      <c r="H447" s="7" t="s">
        <v>115</v>
      </c>
      <c r="I447" s="7" t="s">
        <v>75</v>
      </c>
      <c r="J447" s="7" t="n">
        <v>4</v>
      </c>
      <c r="K447" s="8" t="n">
        <v>3719</v>
      </c>
      <c r="L447" s="9" t="n">
        <v>0.25</v>
      </c>
      <c r="M447" s="8" t="n">
        <v>5901.48</v>
      </c>
      <c r="N447" s="8" t="n">
        <f aca="false">J447*K447*(1-L447)</f>
        <v>11157</v>
      </c>
      <c r="O447" s="8" t="n">
        <f aca="false">N447-M447</f>
        <v>5255.52</v>
      </c>
      <c r="P447" s="10" t="n">
        <f aca="false">IFERROR(O447/N447,0)</f>
        <v>0.471051357891906</v>
      </c>
      <c r="Q447" s="7" t="str">
        <f aca="false">TEXT(B447,"mmm")</f>
        <v>Apr</v>
      </c>
      <c r="R447" s="7" t="str">
        <f aca="false">TEXT(B447,"yyyy-mm")</f>
        <v>2024-04</v>
      </c>
    </row>
    <row r="448" customFormat="false" ht="15" hidden="false" customHeight="false" outlineLevel="0" collapsed="false">
      <c r="A448" s="7" t="s">
        <v>1015</v>
      </c>
      <c r="B448" s="7" t="s">
        <v>609</v>
      </c>
      <c r="C448" s="7" t="s">
        <v>1016</v>
      </c>
      <c r="D448" s="7" t="s">
        <v>140</v>
      </c>
      <c r="E448" s="7" t="s">
        <v>141</v>
      </c>
      <c r="F448" s="7" t="s">
        <v>57</v>
      </c>
      <c r="G448" s="7" t="s">
        <v>73</v>
      </c>
      <c r="H448" s="7" t="s">
        <v>266</v>
      </c>
      <c r="I448" s="7" t="s">
        <v>51</v>
      </c>
      <c r="J448" s="7" t="n">
        <v>3</v>
      </c>
      <c r="K448" s="8" t="n">
        <v>1440</v>
      </c>
      <c r="L448" s="9" t="n">
        <v>0.25</v>
      </c>
      <c r="M448" s="8" t="n">
        <v>2911.17</v>
      </c>
      <c r="N448" s="8" t="n">
        <f aca="false">J448*K448*(1-L448)</f>
        <v>3240</v>
      </c>
      <c r="O448" s="8" t="n">
        <f aca="false">N448-M448</f>
        <v>328.83</v>
      </c>
      <c r="P448" s="10" t="n">
        <f aca="false">IFERROR(O448/N448,0)</f>
        <v>0.101490740740741</v>
      </c>
      <c r="Q448" s="7" t="str">
        <f aca="false">TEXT(B448,"mmm")</f>
        <v>Sep</v>
      </c>
      <c r="R448" s="7" t="str">
        <f aca="false">TEXT(B448,"yyyy-mm")</f>
        <v>2024-09</v>
      </c>
    </row>
    <row r="449" customFormat="false" ht="15" hidden="false" customHeight="false" outlineLevel="0" collapsed="false">
      <c r="A449" s="7" t="s">
        <v>1017</v>
      </c>
      <c r="B449" s="7" t="s">
        <v>531</v>
      </c>
      <c r="C449" s="7" t="s">
        <v>91</v>
      </c>
      <c r="D449" s="7" t="s">
        <v>149</v>
      </c>
      <c r="E449" s="7" t="s">
        <v>150</v>
      </c>
      <c r="F449" s="7" t="s">
        <v>88</v>
      </c>
      <c r="G449" s="7" t="s">
        <v>73</v>
      </c>
      <c r="H449" s="7" t="s">
        <v>74</v>
      </c>
      <c r="I449" s="7" t="s">
        <v>51</v>
      </c>
      <c r="J449" s="7" t="n">
        <v>5</v>
      </c>
      <c r="K449" s="8" t="n">
        <v>5219</v>
      </c>
      <c r="L449" s="9" t="n">
        <v>0.25</v>
      </c>
      <c r="M449" s="8" t="n">
        <v>17455.2</v>
      </c>
      <c r="N449" s="8" t="n">
        <f aca="false">J449*K449*(1-L449)</f>
        <v>19571.25</v>
      </c>
      <c r="O449" s="8" t="n">
        <f aca="false">N449-M449</f>
        <v>2116.05</v>
      </c>
      <c r="P449" s="10" t="n">
        <f aca="false">IFERROR(O449/N449,0)</f>
        <v>0.108120329565051</v>
      </c>
      <c r="Q449" s="7" t="str">
        <f aca="false">TEXT(B449,"mmm")</f>
        <v>Jan</v>
      </c>
      <c r="R449" s="7" t="str">
        <f aca="false">TEXT(B449,"yyyy-mm")</f>
        <v>2024-01</v>
      </c>
    </row>
    <row r="450" customFormat="false" ht="15" hidden="false" customHeight="false" outlineLevel="0" collapsed="false">
      <c r="A450" s="7" t="s">
        <v>1018</v>
      </c>
      <c r="B450" s="7" t="s">
        <v>1019</v>
      </c>
      <c r="C450" s="7" t="s">
        <v>1020</v>
      </c>
      <c r="D450" s="7" t="s">
        <v>170</v>
      </c>
      <c r="E450" s="7" t="s">
        <v>171</v>
      </c>
      <c r="F450" s="7" t="s">
        <v>88</v>
      </c>
      <c r="G450" s="7" t="s">
        <v>49</v>
      </c>
      <c r="H450" s="7" t="s">
        <v>100</v>
      </c>
      <c r="I450" s="7" t="s">
        <v>75</v>
      </c>
      <c r="J450" s="7" t="n">
        <v>1</v>
      </c>
      <c r="K450" s="8" t="n">
        <v>5749</v>
      </c>
      <c r="L450" s="9" t="n">
        <v>0.05</v>
      </c>
      <c r="M450" s="8" t="n">
        <v>3157.71</v>
      </c>
      <c r="N450" s="8" t="n">
        <f aca="false">J450*K450*(1-L450)</f>
        <v>5461.55</v>
      </c>
      <c r="O450" s="8" t="n">
        <f aca="false">N450-M450</f>
        <v>2303.84</v>
      </c>
      <c r="P450" s="10" t="n">
        <f aca="false">IFERROR(O450/N450,0)</f>
        <v>0.421828967966969</v>
      </c>
      <c r="Q450" s="7" t="str">
        <f aca="false">TEXT(B450,"mmm")</f>
        <v>Jul</v>
      </c>
      <c r="R450" s="7" t="str">
        <f aca="false">TEXT(B450,"yyyy-mm")</f>
        <v>2024-07</v>
      </c>
    </row>
    <row r="451" customFormat="false" ht="15" hidden="false" customHeight="false" outlineLevel="0" collapsed="false">
      <c r="A451" s="7" t="s">
        <v>1021</v>
      </c>
      <c r="B451" s="7" t="s">
        <v>1022</v>
      </c>
      <c r="C451" s="7" t="s">
        <v>742</v>
      </c>
      <c r="D451" s="7" t="s">
        <v>170</v>
      </c>
      <c r="E451" s="7" t="s">
        <v>171</v>
      </c>
      <c r="F451" s="7" t="s">
        <v>88</v>
      </c>
      <c r="G451" s="7" t="s">
        <v>49</v>
      </c>
      <c r="H451" s="7" t="s">
        <v>100</v>
      </c>
      <c r="I451" s="7" t="s">
        <v>75</v>
      </c>
      <c r="J451" s="7" t="n">
        <v>6</v>
      </c>
      <c r="K451" s="8" t="n">
        <v>5749</v>
      </c>
      <c r="L451" s="9" t="n">
        <v>0.2</v>
      </c>
      <c r="M451" s="8" t="n">
        <v>18946.26</v>
      </c>
      <c r="N451" s="8" t="n">
        <f aca="false">J451*K451*(1-L451)</f>
        <v>27595.2</v>
      </c>
      <c r="O451" s="8" t="n">
        <f aca="false">N451-M451</f>
        <v>8648.94</v>
      </c>
      <c r="P451" s="10" t="n">
        <f aca="false">IFERROR(O451/N451,0)</f>
        <v>0.313421899460776</v>
      </c>
      <c r="Q451" s="7" t="str">
        <f aca="false">TEXT(B451,"mmm")</f>
        <v>Sep</v>
      </c>
      <c r="R451" s="7" t="str">
        <f aca="false">TEXT(B451,"yyyy-mm")</f>
        <v>2024-09</v>
      </c>
    </row>
    <row r="452" customFormat="false" ht="15" hidden="false" customHeight="false" outlineLevel="0" collapsed="false">
      <c r="A452" s="7" t="s">
        <v>1023</v>
      </c>
      <c r="B452" s="7" t="s">
        <v>772</v>
      </c>
      <c r="C452" s="7" t="s">
        <v>721</v>
      </c>
      <c r="D452" s="7" t="s">
        <v>113</v>
      </c>
      <c r="E452" s="7" t="s">
        <v>114</v>
      </c>
      <c r="F452" s="7" t="s">
        <v>57</v>
      </c>
      <c r="G452" s="7" t="s">
        <v>49</v>
      </c>
      <c r="H452" s="7" t="s">
        <v>172</v>
      </c>
      <c r="I452" s="7" t="s">
        <v>51</v>
      </c>
      <c r="J452" s="7" t="n">
        <v>8</v>
      </c>
      <c r="K452" s="8" t="n">
        <v>3069</v>
      </c>
      <c r="L452" s="9" t="n">
        <v>0</v>
      </c>
      <c r="M452" s="8" t="n">
        <v>18336.64</v>
      </c>
      <c r="N452" s="8" t="n">
        <f aca="false">J452*K452*(1-L452)</f>
        <v>24552</v>
      </c>
      <c r="O452" s="8" t="n">
        <f aca="false">N452-M452</f>
        <v>6215.36</v>
      </c>
      <c r="P452" s="10" t="n">
        <f aca="false">IFERROR(O452/N452,0)</f>
        <v>0.253150863473444</v>
      </c>
      <c r="Q452" s="7" t="str">
        <f aca="false">TEXT(B452,"mmm")</f>
        <v>Oct</v>
      </c>
      <c r="R452" s="7" t="str">
        <f aca="false">TEXT(B452,"yyyy-mm")</f>
        <v>2024-10</v>
      </c>
    </row>
    <row r="453" customFormat="false" ht="15" hidden="false" customHeight="false" outlineLevel="0" collapsed="false">
      <c r="A453" s="7" t="s">
        <v>1024</v>
      </c>
      <c r="B453" s="7" t="s">
        <v>1025</v>
      </c>
      <c r="C453" s="7" t="s">
        <v>294</v>
      </c>
      <c r="D453" s="7" t="s">
        <v>55</v>
      </c>
      <c r="E453" s="7" t="s">
        <v>56</v>
      </c>
      <c r="F453" s="7" t="s">
        <v>57</v>
      </c>
      <c r="G453" s="7" t="s">
        <v>65</v>
      </c>
      <c r="H453" s="7" t="s">
        <v>126</v>
      </c>
      <c r="I453" s="7" t="s">
        <v>51</v>
      </c>
      <c r="J453" s="7" t="n">
        <v>9</v>
      </c>
      <c r="K453" s="8" t="n">
        <v>2850</v>
      </c>
      <c r="L453" s="9" t="n">
        <v>0.1</v>
      </c>
      <c r="M453" s="8" t="n">
        <v>19153.35</v>
      </c>
      <c r="N453" s="8" t="n">
        <f aca="false">J453*K453*(1-L453)</f>
        <v>23085</v>
      </c>
      <c r="O453" s="8" t="n">
        <f aca="false">N453-M453</f>
        <v>3931.65</v>
      </c>
      <c r="P453" s="10" t="n">
        <f aca="false">IFERROR(O453/N453,0)</f>
        <v>0.170311890838207</v>
      </c>
      <c r="Q453" s="7" t="str">
        <f aca="false">TEXT(B453,"mmm")</f>
        <v>Oct</v>
      </c>
      <c r="R453" s="7" t="str">
        <f aca="false">TEXT(B453,"yyyy-mm")</f>
        <v>2024-10</v>
      </c>
    </row>
    <row r="454" customFormat="false" ht="15" hidden="false" customHeight="false" outlineLevel="0" collapsed="false">
      <c r="A454" s="7" t="s">
        <v>1026</v>
      </c>
      <c r="B454" s="7" t="s">
        <v>222</v>
      </c>
      <c r="C454" s="7" t="s">
        <v>284</v>
      </c>
      <c r="D454" s="7" t="s">
        <v>360</v>
      </c>
      <c r="E454" s="7" t="s">
        <v>361</v>
      </c>
      <c r="F454" s="7" t="s">
        <v>48</v>
      </c>
      <c r="G454" s="7" t="s">
        <v>49</v>
      </c>
      <c r="H454" s="7" t="s">
        <v>50</v>
      </c>
      <c r="I454" s="7" t="s">
        <v>75</v>
      </c>
      <c r="J454" s="7" t="n">
        <v>2</v>
      </c>
      <c r="K454" s="8" t="n">
        <v>679</v>
      </c>
      <c r="L454" s="9" t="n">
        <v>0.2</v>
      </c>
      <c r="M454" s="8" t="n">
        <v>921.4</v>
      </c>
      <c r="N454" s="8" t="n">
        <f aca="false">J454*K454*(1-L454)</f>
        <v>1086.4</v>
      </c>
      <c r="O454" s="8" t="n">
        <f aca="false">N454-M454</f>
        <v>165</v>
      </c>
      <c r="P454" s="10" t="n">
        <f aca="false">IFERROR(O454/N454,0)</f>
        <v>0.151877761413844</v>
      </c>
      <c r="Q454" s="7" t="str">
        <f aca="false">TEXT(B454,"mmm")</f>
        <v>Jul</v>
      </c>
      <c r="R454" s="7" t="str">
        <f aca="false">TEXT(B454,"yyyy-mm")</f>
        <v>2024-07</v>
      </c>
    </row>
    <row r="455" customFormat="false" ht="15" hidden="false" customHeight="false" outlineLevel="0" collapsed="false">
      <c r="A455" s="7" t="s">
        <v>1027</v>
      </c>
      <c r="B455" s="7" t="s">
        <v>628</v>
      </c>
      <c r="C455" s="7" t="s">
        <v>210</v>
      </c>
      <c r="D455" s="7" t="s">
        <v>360</v>
      </c>
      <c r="E455" s="7" t="s">
        <v>361</v>
      </c>
      <c r="F455" s="7" t="s">
        <v>48</v>
      </c>
      <c r="G455" s="7" t="s">
        <v>73</v>
      </c>
      <c r="H455" s="7" t="s">
        <v>115</v>
      </c>
      <c r="I455" s="7" t="s">
        <v>75</v>
      </c>
      <c r="J455" s="7" t="n">
        <v>2</v>
      </c>
      <c r="K455" s="8" t="n">
        <v>679</v>
      </c>
      <c r="L455" s="9" t="n">
        <v>0.15</v>
      </c>
      <c r="M455" s="8" t="n">
        <v>921.4</v>
      </c>
      <c r="N455" s="8" t="n">
        <f aca="false">J455*K455*(1-L455)</f>
        <v>1154.3</v>
      </c>
      <c r="O455" s="8" t="n">
        <f aca="false">N455-M455</f>
        <v>232.9</v>
      </c>
      <c r="P455" s="10" t="n">
        <f aca="false">IFERROR(O455/N455,0)</f>
        <v>0.201767304860088</v>
      </c>
      <c r="Q455" s="7" t="str">
        <f aca="false">TEXT(B455,"mmm")</f>
        <v>Apr</v>
      </c>
      <c r="R455" s="7" t="str">
        <f aca="false">TEXT(B455,"yyyy-mm")</f>
        <v>2024-04</v>
      </c>
    </row>
    <row r="456" customFormat="false" ht="15" hidden="false" customHeight="false" outlineLevel="0" collapsed="false">
      <c r="A456" s="7" t="s">
        <v>1028</v>
      </c>
      <c r="B456" s="7" t="s">
        <v>309</v>
      </c>
      <c r="C456" s="7" t="s">
        <v>134</v>
      </c>
      <c r="D456" s="7" t="s">
        <v>86</v>
      </c>
      <c r="E456" s="7" t="s">
        <v>87</v>
      </c>
      <c r="F456" s="7" t="s">
        <v>88</v>
      </c>
      <c r="G456" s="7" t="s">
        <v>65</v>
      </c>
      <c r="H456" s="7" t="s">
        <v>217</v>
      </c>
      <c r="I456" s="7" t="s">
        <v>75</v>
      </c>
      <c r="J456" s="7" t="n">
        <v>3</v>
      </c>
      <c r="K456" s="8" t="n">
        <v>3719</v>
      </c>
      <c r="L456" s="9" t="n">
        <v>0</v>
      </c>
      <c r="M456" s="8" t="n">
        <v>4426.11</v>
      </c>
      <c r="N456" s="8" t="n">
        <f aca="false">J456*K456*(1-L456)</f>
        <v>11157</v>
      </c>
      <c r="O456" s="8" t="n">
        <f aca="false">N456-M456</f>
        <v>6730.89</v>
      </c>
      <c r="P456" s="10" t="n">
        <f aca="false">IFERROR(O456/N456,0)</f>
        <v>0.60328851841893</v>
      </c>
      <c r="Q456" s="7" t="str">
        <f aca="false">TEXT(B456,"mmm")</f>
        <v>Oct</v>
      </c>
      <c r="R456" s="7" t="str">
        <f aca="false">TEXT(B456,"yyyy-mm")</f>
        <v>2024-10</v>
      </c>
    </row>
    <row r="457" customFormat="false" ht="15" hidden="false" customHeight="false" outlineLevel="0" collapsed="false">
      <c r="A457" s="7" t="s">
        <v>1029</v>
      </c>
      <c r="B457" s="7" t="s">
        <v>696</v>
      </c>
      <c r="C457" s="7" t="s">
        <v>699</v>
      </c>
      <c r="D457" s="7" t="s">
        <v>124</v>
      </c>
      <c r="E457" s="7" t="s">
        <v>125</v>
      </c>
      <c r="F457" s="7" t="s">
        <v>64</v>
      </c>
      <c r="G457" s="7" t="s">
        <v>65</v>
      </c>
      <c r="H457" s="7" t="s">
        <v>106</v>
      </c>
      <c r="I457" s="7" t="s">
        <v>51</v>
      </c>
      <c r="J457" s="7" t="n">
        <v>3</v>
      </c>
      <c r="K457" s="8" t="n">
        <v>1349</v>
      </c>
      <c r="L457" s="9" t="n">
        <v>0.15</v>
      </c>
      <c r="M457" s="8" t="n">
        <v>2092.2</v>
      </c>
      <c r="N457" s="8" t="n">
        <f aca="false">J457*K457*(1-L457)</f>
        <v>3439.95</v>
      </c>
      <c r="O457" s="8" t="n">
        <f aca="false">N457-M457</f>
        <v>1347.75</v>
      </c>
      <c r="P457" s="10" t="n">
        <f aca="false">IFERROR(O457/N457,0)</f>
        <v>0.391793485370427</v>
      </c>
      <c r="Q457" s="7" t="str">
        <f aca="false">TEXT(B457,"mmm")</f>
        <v>May</v>
      </c>
      <c r="R457" s="7" t="str">
        <f aca="false">TEXT(B457,"yyyy-mm")</f>
        <v>2024-05</v>
      </c>
    </row>
    <row r="458" customFormat="false" ht="15" hidden="false" customHeight="false" outlineLevel="0" collapsed="false">
      <c r="A458" s="7" t="s">
        <v>1030</v>
      </c>
      <c r="B458" s="7" t="s">
        <v>77</v>
      </c>
      <c r="C458" s="7" t="s">
        <v>744</v>
      </c>
      <c r="D458" s="7" t="s">
        <v>149</v>
      </c>
      <c r="E458" s="7" t="s">
        <v>150</v>
      </c>
      <c r="F458" s="7" t="s">
        <v>88</v>
      </c>
      <c r="G458" s="7" t="s">
        <v>73</v>
      </c>
      <c r="H458" s="7" t="s">
        <v>266</v>
      </c>
      <c r="I458" s="7" t="s">
        <v>75</v>
      </c>
      <c r="J458" s="7" t="n">
        <v>6</v>
      </c>
      <c r="K458" s="8" t="n">
        <v>5219</v>
      </c>
      <c r="L458" s="9" t="n">
        <v>0.15</v>
      </c>
      <c r="M458" s="8" t="n">
        <v>20946.24</v>
      </c>
      <c r="N458" s="8" t="n">
        <f aca="false">J458*K458*(1-L458)</f>
        <v>26616.9</v>
      </c>
      <c r="O458" s="8" t="n">
        <f aca="false">N458-M458</f>
        <v>5670.66</v>
      </c>
      <c r="P458" s="10" t="n">
        <f aca="false">IFERROR(O458/N458,0)</f>
        <v>0.213047349616221</v>
      </c>
      <c r="Q458" s="7" t="str">
        <f aca="false">TEXT(B458,"mmm")</f>
        <v>Nov</v>
      </c>
      <c r="R458" s="7" t="str">
        <f aca="false">TEXT(B458,"yyyy-mm")</f>
        <v>2024-11</v>
      </c>
    </row>
    <row r="459" customFormat="false" ht="15" hidden="false" customHeight="false" outlineLevel="0" collapsed="false">
      <c r="A459" s="7" t="s">
        <v>1031</v>
      </c>
      <c r="B459" s="7" t="s">
        <v>375</v>
      </c>
      <c r="C459" s="7" t="s">
        <v>226</v>
      </c>
      <c r="D459" s="7" t="s">
        <v>360</v>
      </c>
      <c r="E459" s="7" t="s">
        <v>361</v>
      </c>
      <c r="F459" s="7" t="s">
        <v>48</v>
      </c>
      <c r="G459" s="7" t="s">
        <v>81</v>
      </c>
      <c r="H459" s="7" t="s">
        <v>82</v>
      </c>
      <c r="I459" s="7" t="s">
        <v>51</v>
      </c>
      <c r="J459" s="7" t="n">
        <v>5</v>
      </c>
      <c r="K459" s="8" t="n">
        <v>679</v>
      </c>
      <c r="L459" s="9" t="n">
        <v>0.2</v>
      </c>
      <c r="M459" s="8" t="n">
        <v>2303.5</v>
      </c>
      <c r="N459" s="8" t="n">
        <f aca="false">J459*K459*(1-L459)</f>
        <v>2716</v>
      </c>
      <c r="O459" s="8" t="n">
        <f aca="false">N459-M459</f>
        <v>412.5</v>
      </c>
      <c r="P459" s="10" t="n">
        <f aca="false">IFERROR(O459/N459,0)</f>
        <v>0.151877761413844</v>
      </c>
      <c r="Q459" s="7" t="str">
        <f aca="false">TEXT(B459,"mmm")</f>
        <v>Nov</v>
      </c>
      <c r="R459" s="7" t="str">
        <f aca="false">TEXT(B459,"yyyy-mm")</f>
        <v>2024-11</v>
      </c>
    </row>
    <row r="460" customFormat="false" ht="15" hidden="false" customHeight="false" outlineLevel="0" collapsed="false">
      <c r="A460" s="7" t="s">
        <v>1032</v>
      </c>
      <c r="B460" s="7" t="s">
        <v>618</v>
      </c>
      <c r="C460" s="7" t="s">
        <v>134</v>
      </c>
      <c r="D460" s="7" t="s">
        <v>249</v>
      </c>
      <c r="E460" s="7" t="s">
        <v>250</v>
      </c>
      <c r="F460" s="7" t="s">
        <v>57</v>
      </c>
      <c r="G460" s="7" t="s">
        <v>81</v>
      </c>
      <c r="H460" s="7" t="s">
        <v>186</v>
      </c>
      <c r="I460" s="7" t="s">
        <v>75</v>
      </c>
      <c r="J460" s="7" t="n">
        <v>3</v>
      </c>
      <c r="K460" s="8" t="n">
        <v>1730</v>
      </c>
      <c r="L460" s="9" t="n">
        <v>0.2</v>
      </c>
      <c r="M460" s="8" t="n">
        <v>2647.32</v>
      </c>
      <c r="N460" s="8" t="n">
        <f aca="false">J460*K460*(1-L460)</f>
        <v>4152</v>
      </c>
      <c r="O460" s="8" t="n">
        <f aca="false">N460-M460</f>
        <v>1504.68</v>
      </c>
      <c r="P460" s="10" t="n">
        <f aca="false">IFERROR(O460/N460,0)</f>
        <v>0.362398843930636</v>
      </c>
      <c r="Q460" s="7" t="str">
        <f aca="false">TEXT(B460,"mmm")</f>
        <v>Sep</v>
      </c>
      <c r="R460" s="7" t="str">
        <f aca="false">TEXT(B460,"yyyy-mm")</f>
        <v>2024-09</v>
      </c>
    </row>
    <row r="461" customFormat="false" ht="15" hidden="false" customHeight="false" outlineLevel="0" collapsed="false">
      <c r="A461" s="7" t="s">
        <v>1033</v>
      </c>
      <c r="B461" s="7" t="s">
        <v>809</v>
      </c>
      <c r="C461" s="7" t="s">
        <v>454</v>
      </c>
      <c r="D461" s="7" t="s">
        <v>149</v>
      </c>
      <c r="E461" s="7" t="s">
        <v>150</v>
      </c>
      <c r="F461" s="7" t="s">
        <v>88</v>
      </c>
      <c r="G461" s="7" t="s">
        <v>81</v>
      </c>
      <c r="H461" s="7" t="s">
        <v>237</v>
      </c>
      <c r="I461" s="7" t="s">
        <v>51</v>
      </c>
      <c r="J461" s="7" t="n">
        <v>9</v>
      </c>
      <c r="K461" s="8" t="n">
        <v>5219</v>
      </c>
      <c r="L461" s="9" t="n">
        <v>0.2</v>
      </c>
      <c r="M461" s="8" t="n">
        <v>31419.36</v>
      </c>
      <c r="N461" s="8" t="n">
        <f aca="false">J461*K461*(1-L461)</f>
        <v>37576.8</v>
      </c>
      <c r="O461" s="8" t="n">
        <f aca="false">N461-M461</f>
        <v>6157.44</v>
      </c>
      <c r="P461" s="10" t="n">
        <f aca="false">IFERROR(O461/N461,0)</f>
        <v>0.163862808967235</v>
      </c>
      <c r="Q461" s="7" t="str">
        <f aca="false">TEXT(B461,"mmm")</f>
        <v>May</v>
      </c>
      <c r="R461" s="7" t="str">
        <f aca="false">TEXT(B461,"yyyy-mm")</f>
        <v>2024-05</v>
      </c>
    </row>
    <row r="462" customFormat="false" ht="15" hidden="false" customHeight="false" outlineLevel="0" collapsed="false">
      <c r="A462" s="7" t="s">
        <v>1034</v>
      </c>
      <c r="B462" s="7" t="s">
        <v>434</v>
      </c>
      <c r="C462" s="7" t="s">
        <v>447</v>
      </c>
      <c r="D462" s="7" t="s">
        <v>464</v>
      </c>
      <c r="E462" s="7" t="s">
        <v>465</v>
      </c>
      <c r="F462" s="7" t="s">
        <v>48</v>
      </c>
      <c r="G462" s="7" t="s">
        <v>49</v>
      </c>
      <c r="H462" s="7" t="s">
        <v>100</v>
      </c>
      <c r="I462" s="7" t="s">
        <v>75</v>
      </c>
      <c r="J462" s="7" t="n">
        <v>5</v>
      </c>
      <c r="K462" s="8" t="n">
        <v>799</v>
      </c>
      <c r="L462" s="9" t="n">
        <v>0</v>
      </c>
      <c r="M462" s="8" t="n">
        <v>2069.9</v>
      </c>
      <c r="N462" s="8" t="n">
        <f aca="false">J462*K462*(1-L462)</f>
        <v>3995</v>
      </c>
      <c r="O462" s="8" t="n">
        <f aca="false">N462-M462</f>
        <v>1925.1</v>
      </c>
      <c r="P462" s="10" t="n">
        <f aca="false">IFERROR(O462/N462,0)</f>
        <v>0.481877346683354</v>
      </c>
      <c r="Q462" s="7" t="str">
        <f aca="false">TEXT(B462,"mmm")</f>
        <v>May</v>
      </c>
      <c r="R462" s="7" t="str">
        <f aca="false">TEXT(B462,"yyyy-mm")</f>
        <v>2024-05</v>
      </c>
    </row>
    <row r="463" customFormat="false" ht="15" hidden="false" customHeight="false" outlineLevel="0" collapsed="false">
      <c r="A463" s="7" t="s">
        <v>1035</v>
      </c>
      <c r="B463" s="7" t="s">
        <v>456</v>
      </c>
      <c r="C463" s="7" t="s">
        <v>364</v>
      </c>
      <c r="D463" s="7" t="s">
        <v>144</v>
      </c>
      <c r="E463" s="7" t="s">
        <v>145</v>
      </c>
      <c r="F463" s="7" t="s">
        <v>48</v>
      </c>
      <c r="G463" s="7" t="s">
        <v>65</v>
      </c>
      <c r="H463" s="7" t="s">
        <v>106</v>
      </c>
      <c r="I463" s="7" t="s">
        <v>51</v>
      </c>
      <c r="J463" s="7" t="n">
        <v>4</v>
      </c>
      <c r="K463" s="8" t="n">
        <v>5149</v>
      </c>
      <c r="L463" s="9" t="n">
        <v>0.25</v>
      </c>
      <c r="M463" s="8" t="n">
        <v>8689.92</v>
      </c>
      <c r="N463" s="8" t="n">
        <f aca="false">J463*K463*(1-L463)</f>
        <v>15447</v>
      </c>
      <c r="O463" s="8" t="n">
        <f aca="false">N463-M463</f>
        <v>6757.08</v>
      </c>
      <c r="P463" s="10" t="n">
        <f aca="false">IFERROR(O463/N463,0)</f>
        <v>0.437436395416586</v>
      </c>
      <c r="Q463" s="7" t="str">
        <f aca="false">TEXT(B463,"mmm")</f>
        <v>Mar</v>
      </c>
      <c r="R463" s="7" t="str">
        <f aca="false">TEXT(B463,"yyyy-mm")</f>
        <v>2024-03</v>
      </c>
    </row>
    <row r="464" customFormat="false" ht="15" hidden="false" customHeight="false" outlineLevel="0" collapsed="false">
      <c r="A464" s="7" t="s">
        <v>1036</v>
      </c>
      <c r="B464" s="7" t="s">
        <v>906</v>
      </c>
      <c r="C464" s="7" t="s">
        <v>325</v>
      </c>
      <c r="D464" s="7" t="s">
        <v>62</v>
      </c>
      <c r="E464" s="7" t="s">
        <v>63</v>
      </c>
      <c r="F464" s="7" t="s">
        <v>64</v>
      </c>
      <c r="G464" s="7" t="s">
        <v>73</v>
      </c>
      <c r="H464" s="7" t="s">
        <v>74</v>
      </c>
      <c r="I464" s="7" t="s">
        <v>75</v>
      </c>
      <c r="J464" s="7" t="n">
        <v>5</v>
      </c>
      <c r="K464" s="8" t="n">
        <v>7079</v>
      </c>
      <c r="L464" s="9" t="n">
        <v>0.1</v>
      </c>
      <c r="M464" s="8" t="n">
        <v>13698.9</v>
      </c>
      <c r="N464" s="8" t="n">
        <f aca="false">J464*K464*(1-L464)</f>
        <v>31855.5</v>
      </c>
      <c r="O464" s="8" t="n">
        <f aca="false">N464-M464</f>
        <v>18156.6</v>
      </c>
      <c r="P464" s="10" t="n">
        <f aca="false">IFERROR(O464/N464,0)</f>
        <v>0.569967509535245</v>
      </c>
      <c r="Q464" s="7" t="str">
        <f aca="false">TEXT(B464,"mmm")</f>
        <v>Nov</v>
      </c>
      <c r="R464" s="7" t="str">
        <f aca="false">TEXT(B464,"yyyy-mm")</f>
        <v>2024-11</v>
      </c>
    </row>
    <row r="465" customFormat="false" ht="15" hidden="false" customHeight="false" outlineLevel="0" collapsed="false">
      <c r="A465" s="7" t="s">
        <v>1037</v>
      </c>
      <c r="B465" s="7" t="s">
        <v>1038</v>
      </c>
      <c r="C465" s="7" t="s">
        <v>732</v>
      </c>
      <c r="D465" s="7" t="s">
        <v>295</v>
      </c>
      <c r="E465" s="7" t="s">
        <v>296</v>
      </c>
      <c r="F465" s="7" t="s">
        <v>64</v>
      </c>
      <c r="G465" s="7" t="s">
        <v>73</v>
      </c>
      <c r="H465" s="7" t="s">
        <v>211</v>
      </c>
      <c r="I465" s="7" t="s">
        <v>51</v>
      </c>
      <c r="J465" s="7" t="n">
        <v>3</v>
      </c>
      <c r="K465" s="8" t="n">
        <v>1249</v>
      </c>
      <c r="L465" s="9" t="n">
        <v>0</v>
      </c>
      <c r="M465" s="8" t="n">
        <v>2751.93</v>
      </c>
      <c r="N465" s="8" t="n">
        <f aca="false">J465*K465*(1-L465)</f>
        <v>3747</v>
      </c>
      <c r="O465" s="8" t="n">
        <f aca="false">N465-M465</f>
        <v>995.07</v>
      </c>
      <c r="P465" s="10" t="n">
        <f aca="false">IFERROR(O465/N465,0)</f>
        <v>0.265564451561249</v>
      </c>
      <c r="Q465" s="7" t="str">
        <f aca="false">TEXT(B465,"mmm")</f>
        <v>Apr</v>
      </c>
      <c r="R465" s="7" t="str">
        <f aca="false">TEXT(B465,"yyyy-mm")</f>
        <v>2024-04</v>
      </c>
    </row>
    <row r="466" customFormat="false" ht="15" hidden="false" customHeight="false" outlineLevel="0" collapsed="false">
      <c r="A466" s="7" t="s">
        <v>1039</v>
      </c>
      <c r="B466" s="7" t="s">
        <v>1040</v>
      </c>
      <c r="C466" s="7" t="s">
        <v>868</v>
      </c>
      <c r="D466" s="7" t="s">
        <v>170</v>
      </c>
      <c r="E466" s="7" t="s">
        <v>171</v>
      </c>
      <c r="F466" s="7" t="s">
        <v>88</v>
      </c>
      <c r="G466" s="7" t="s">
        <v>49</v>
      </c>
      <c r="H466" s="7" t="s">
        <v>58</v>
      </c>
      <c r="I466" s="7" t="s">
        <v>51</v>
      </c>
      <c r="J466" s="7" t="n">
        <v>6</v>
      </c>
      <c r="K466" s="8" t="n">
        <v>5749</v>
      </c>
      <c r="L466" s="9" t="n">
        <v>0.1</v>
      </c>
      <c r="M466" s="8" t="n">
        <v>18946.26</v>
      </c>
      <c r="N466" s="8" t="n">
        <f aca="false">J466*K466*(1-L466)</f>
        <v>31044.6</v>
      </c>
      <c r="O466" s="8" t="n">
        <f aca="false">N466-M466</f>
        <v>12098.34</v>
      </c>
      <c r="P466" s="10" t="n">
        <f aca="false">IFERROR(O466/N466,0)</f>
        <v>0.389708355076245</v>
      </c>
      <c r="Q466" s="7" t="str">
        <f aca="false">TEXT(B466,"mmm")</f>
        <v>Nov</v>
      </c>
      <c r="R466" s="7" t="str">
        <f aca="false">TEXT(B466,"yyyy-mm")</f>
        <v>2024-11</v>
      </c>
    </row>
    <row r="467" customFormat="false" ht="15" hidden="false" customHeight="false" outlineLevel="0" collapsed="false">
      <c r="A467" s="7" t="s">
        <v>1041</v>
      </c>
      <c r="B467" s="7" t="s">
        <v>84</v>
      </c>
      <c r="C467" s="7" t="s">
        <v>1016</v>
      </c>
      <c r="D467" s="7" t="s">
        <v>287</v>
      </c>
      <c r="E467" s="7" t="s">
        <v>288</v>
      </c>
      <c r="F467" s="7" t="s">
        <v>72</v>
      </c>
      <c r="G467" s="7" t="s">
        <v>49</v>
      </c>
      <c r="H467" s="7" t="s">
        <v>172</v>
      </c>
      <c r="I467" s="7" t="s">
        <v>51</v>
      </c>
      <c r="J467" s="7" t="n">
        <v>3</v>
      </c>
      <c r="K467" s="8" t="n">
        <v>1049</v>
      </c>
      <c r="L467" s="9" t="n">
        <v>0.25</v>
      </c>
      <c r="M467" s="8" t="n">
        <v>1986.06</v>
      </c>
      <c r="N467" s="8" t="n">
        <f aca="false">J467*K467*(1-L467)</f>
        <v>2360.25</v>
      </c>
      <c r="O467" s="8" t="n">
        <f aca="false">N467-M467</f>
        <v>374.19</v>
      </c>
      <c r="P467" s="10" t="n">
        <f aca="false">IFERROR(O467/N467,0)</f>
        <v>0.158538290435335</v>
      </c>
      <c r="Q467" s="7" t="str">
        <f aca="false">TEXT(B467,"mmm")</f>
        <v>Apr</v>
      </c>
      <c r="R467" s="7" t="str">
        <f aca="false">TEXT(B467,"yyyy-mm")</f>
        <v>2024-04</v>
      </c>
    </row>
    <row r="468" customFormat="false" ht="15" hidden="false" customHeight="false" outlineLevel="0" collapsed="false">
      <c r="A468" s="7" t="s">
        <v>1042</v>
      </c>
      <c r="B468" s="7" t="s">
        <v>1043</v>
      </c>
      <c r="C468" s="7" t="s">
        <v>419</v>
      </c>
      <c r="D468" s="7" t="s">
        <v>55</v>
      </c>
      <c r="E468" s="7" t="s">
        <v>56</v>
      </c>
      <c r="F468" s="7" t="s">
        <v>57</v>
      </c>
      <c r="G468" s="7" t="s">
        <v>73</v>
      </c>
      <c r="H468" s="7" t="s">
        <v>266</v>
      </c>
      <c r="I468" s="7" t="s">
        <v>75</v>
      </c>
      <c r="J468" s="7" t="n">
        <v>4</v>
      </c>
      <c r="K468" s="8" t="n">
        <v>2850</v>
      </c>
      <c r="L468" s="9" t="n">
        <v>0.15</v>
      </c>
      <c r="M468" s="8" t="n">
        <v>8512.6</v>
      </c>
      <c r="N468" s="8" t="n">
        <f aca="false">J468*K468*(1-L468)</f>
        <v>9690</v>
      </c>
      <c r="O468" s="8" t="n">
        <f aca="false">N468-M468</f>
        <v>1177.4</v>
      </c>
      <c r="P468" s="10" t="n">
        <f aca="false">IFERROR(O468/N468,0)</f>
        <v>0.121506707946336</v>
      </c>
      <c r="Q468" s="7" t="str">
        <f aca="false">TEXT(B468,"mmm")</f>
        <v>Dec</v>
      </c>
      <c r="R468" s="7" t="str">
        <f aca="false">TEXT(B468,"yyyy-mm")</f>
        <v>2024-12</v>
      </c>
    </row>
    <row r="469" customFormat="false" ht="15" hidden="false" customHeight="false" outlineLevel="0" collapsed="false">
      <c r="A469" s="7" t="s">
        <v>1044</v>
      </c>
      <c r="B469" s="7" t="s">
        <v>1045</v>
      </c>
      <c r="C469" s="7" t="s">
        <v>383</v>
      </c>
      <c r="D469" s="7" t="s">
        <v>95</v>
      </c>
      <c r="E469" s="7" t="s">
        <v>96</v>
      </c>
      <c r="F469" s="7" t="s">
        <v>48</v>
      </c>
      <c r="G469" s="7" t="s">
        <v>49</v>
      </c>
      <c r="H469" s="7" t="s">
        <v>100</v>
      </c>
      <c r="I469" s="7" t="s">
        <v>51</v>
      </c>
      <c r="J469" s="7" t="n">
        <v>6</v>
      </c>
      <c r="K469" s="8" t="n">
        <v>5529</v>
      </c>
      <c r="L469" s="9" t="n">
        <v>0.15</v>
      </c>
      <c r="M469" s="8" t="n">
        <v>18697.56</v>
      </c>
      <c r="N469" s="8" t="n">
        <f aca="false">J469*K469*(1-L469)</f>
        <v>28197.9</v>
      </c>
      <c r="O469" s="8" t="n">
        <f aca="false">N469-M469</f>
        <v>9500.34</v>
      </c>
      <c r="P469" s="10" t="n">
        <f aca="false">IFERROR(O469/N469,0)</f>
        <v>0.336916578894173</v>
      </c>
      <c r="Q469" s="7" t="str">
        <f aca="false">TEXT(B469,"mmm")</f>
        <v>May</v>
      </c>
      <c r="R469" s="7" t="str">
        <f aca="false">TEXT(B469,"yyyy-mm")</f>
        <v>2024-05</v>
      </c>
    </row>
    <row r="470" customFormat="false" ht="15" hidden="false" customHeight="false" outlineLevel="0" collapsed="false">
      <c r="A470" s="7" t="s">
        <v>1046</v>
      </c>
      <c r="B470" s="7" t="s">
        <v>509</v>
      </c>
      <c r="C470" s="7" t="s">
        <v>166</v>
      </c>
      <c r="D470" s="7" t="s">
        <v>295</v>
      </c>
      <c r="E470" s="7" t="s">
        <v>296</v>
      </c>
      <c r="F470" s="7" t="s">
        <v>64</v>
      </c>
      <c r="G470" s="7" t="s">
        <v>65</v>
      </c>
      <c r="H470" s="7" t="s">
        <v>126</v>
      </c>
      <c r="I470" s="7" t="s">
        <v>75</v>
      </c>
      <c r="J470" s="7" t="n">
        <v>6</v>
      </c>
      <c r="K470" s="8" t="n">
        <v>1249</v>
      </c>
      <c r="L470" s="9" t="n">
        <v>0</v>
      </c>
      <c r="M470" s="8" t="n">
        <v>5503.86</v>
      </c>
      <c r="N470" s="8" t="n">
        <f aca="false">J470*K470*(1-L470)</f>
        <v>7494</v>
      </c>
      <c r="O470" s="8" t="n">
        <f aca="false">N470-M470</f>
        <v>1990.14</v>
      </c>
      <c r="P470" s="10" t="n">
        <f aca="false">IFERROR(O470/N470,0)</f>
        <v>0.265564451561249</v>
      </c>
      <c r="Q470" s="7" t="str">
        <f aca="false">TEXT(B470,"mmm")</f>
        <v>Feb</v>
      </c>
      <c r="R470" s="7" t="str">
        <f aca="false">TEXT(B470,"yyyy-mm")</f>
        <v>2024-02</v>
      </c>
    </row>
    <row r="471" customFormat="false" ht="15" hidden="false" customHeight="false" outlineLevel="0" collapsed="false">
      <c r="A471" s="7" t="s">
        <v>1047</v>
      </c>
      <c r="B471" s="7" t="s">
        <v>204</v>
      </c>
      <c r="C471" s="7" t="s">
        <v>1048</v>
      </c>
      <c r="D471" s="7" t="s">
        <v>464</v>
      </c>
      <c r="E471" s="7" t="s">
        <v>465</v>
      </c>
      <c r="F471" s="7" t="s">
        <v>48</v>
      </c>
      <c r="G471" s="7" t="s">
        <v>65</v>
      </c>
      <c r="H471" s="7" t="s">
        <v>217</v>
      </c>
      <c r="I471" s="7" t="s">
        <v>51</v>
      </c>
      <c r="J471" s="7" t="n">
        <v>3</v>
      </c>
      <c r="K471" s="8" t="n">
        <v>799</v>
      </c>
      <c r="L471" s="9" t="n">
        <v>0.1</v>
      </c>
      <c r="M471" s="8" t="n">
        <v>1241.94</v>
      </c>
      <c r="N471" s="8" t="n">
        <f aca="false">J471*K471*(1-L471)</f>
        <v>2157.3</v>
      </c>
      <c r="O471" s="8" t="n">
        <f aca="false">N471-M471</f>
        <v>915.36</v>
      </c>
      <c r="P471" s="10" t="n">
        <f aca="false">IFERROR(O471/N471,0)</f>
        <v>0.424308162981505</v>
      </c>
      <c r="Q471" s="7" t="str">
        <f aca="false">TEXT(B471,"mmm")</f>
        <v>Apr</v>
      </c>
      <c r="R471" s="7" t="str">
        <f aca="false">TEXT(B471,"yyyy-mm")</f>
        <v>2024-04</v>
      </c>
    </row>
    <row r="472" customFormat="false" ht="15" hidden="false" customHeight="false" outlineLevel="0" collapsed="false">
      <c r="A472" s="7" t="s">
        <v>1049</v>
      </c>
      <c r="B472" s="7" t="s">
        <v>1050</v>
      </c>
      <c r="C472" s="7" t="s">
        <v>930</v>
      </c>
      <c r="D472" s="7" t="s">
        <v>459</v>
      </c>
      <c r="E472" s="7" t="s">
        <v>460</v>
      </c>
      <c r="F472" s="7" t="s">
        <v>64</v>
      </c>
      <c r="G472" s="7" t="s">
        <v>73</v>
      </c>
      <c r="H472" s="7" t="s">
        <v>211</v>
      </c>
      <c r="I472" s="7" t="s">
        <v>51</v>
      </c>
      <c r="J472" s="7" t="n">
        <v>6</v>
      </c>
      <c r="K472" s="8" t="n">
        <v>1520</v>
      </c>
      <c r="L472" s="9" t="n">
        <v>0</v>
      </c>
      <c r="M472" s="8" t="n">
        <v>5314.26</v>
      </c>
      <c r="N472" s="8" t="n">
        <f aca="false">J472*K472*(1-L472)</f>
        <v>9120</v>
      </c>
      <c r="O472" s="8" t="n">
        <f aca="false">N472-M472</f>
        <v>3805.74</v>
      </c>
      <c r="P472" s="10" t="n">
        <f aca="false">IFERROR(O472/N472,0)</f>
        <v>0.417296052631579</v>
      </c>
      <c r="Q472" s="7" t="str">
        <f aca="false">TEXT(B472,"mmm")</f>
        <v>Aug</v>
      </c>
      <c r="R472" s="7" t="str">
        <f aca="false">TEXT(B472,"yyyy-mm")</f>
        <v>2024-08</v>
      </c>
    </row>
    <row r="473" customFormat="false" ht="15" hidden="false" customHeight="false" outlineLevel="0" collapsed="false">
      <c r="A473" s="7" t="s">
        <v>1051</v>
      </c>
      <c r="B473" s="7" t="s">
        <v>1052</v>
      </c>
      <c r="C473" s="7" t="s">
        <v>313</v>
      </c>
      <c r="D473" s="7" t="s">
        <v>227</v>
      </c>
      <c r="E473" s="7" t="s">
        <v>228</v>
      </c>
      <c r="F473" s="7" t="s">
        <v>64</v>
      </c>
      <c r="G473" s="7" t="s">
        <v>81</v>
      </c>
      <c r="H473" s="7" t="s">
        <v>109</v>
      </c>
      <c r="I473" s="7" t="s">
        <v>51</v>
      </c>
      <c r="J473" s="7" t="n">
        <v>9</v>
      </c>
      <c r="K473" s="8" t="n">
        <v>5529</v>
      </c>
      <c r="L473" s="9" t="n">
        <v>0</v>
      </c>
      <c r="M473" s="8" t="n">
        <v>27474.48</v>
      </c>
      <c r="N473" s="8" t="n">
        <f aca="false">J473*K473*(1-L473)</f>
        <v>49761</v>
      </c>
      <c r="O473" s="8" t="n">
        <f aca="false">N473-M473</f>
        <v>22286.52</v>
      </c>
      <c r="P473" s="10" t="n">
        <f aca="false">IFERROR(O473/N473,0)</f>
        <v>0.447871224452885</v>
      </c>
      <c r="Q473" s="7" t="str">
        <f aca="false">TEXT(B473,"mmm")</f>
        <v>Nov</v>
      </c>
      <c r="R473" s="7" t="str">
        <f aca="false">TEXT(B473,"yyyy-mm")</f>
        <v>2024-11</v>
      </c>
    </row>
    <row r="474" customFormat="false" ht="15" hidden="false" customHeight="false" outlineLevel="0" collapsed="false">
      <c r="A474" s="7" t="s">
        <v>1053</v>
      </c>
      <c r="B474" s="7" t="s">
        <v>1054</v>
      </c>
      <c r="C474" s="7" t="s">
        <v>226</v>
      </c>
      <c r="D474" s="7" t="s">
        <v>95</v>
      </c>
      <c r="E474" s="7" t="s">
        <v>96</v>
      </c>
      <c r="F474" s="7" t="s">
        <v>48</v>
      </c>
      <c r="G474" s="7" t="s">
        <v>81</v>
      </c>
      <c r="H474" s="7" t="s">
        <v>186</v>
      </c>
      <c r="I474" s="7" t="s">
        <v>75</v>
      </c>
      <c r="J474" s="7" t="n">
        <v>1</v>
      </c>
      <c r="K474" s="8" t="n">
        <v>5529</v>
      </c>
      <c r="L474" s="9" t="n">
        <v>0.1</v>
      </c>
      <c r="M474" s="8" t="n">
        <v>3116.26</v>
      </c>
      <c r="N474" s="8" t="n">
        <f aca="false">J474*K474*(1-L474)</f>
        <v>4976.1</v>
      </c>
      <c r="O474" s="8" t="n">
        <f aca="false">N474-M474</f>
        <v>1859.84</v>
      </c>
      <c r="P474" s="10" t="n">
        <f aca="false">IFERROR(O474/N474,0)</f>
        <v>0.373754546733386</v>
      </c>
      <c r="Q474" s="7" t="str">
        <f aca="false">TEXT(B474,"mmm")</f>
        <v>Jan</v>
      </c>
      <c r="R474" s="7" t="str">
        <f aca="false">TEXT(B474,"yyyy-mm")</f>
        <v>2024-01</v>
      </c>
    </row>
    <row r="475" customFormat="false" ht="15" hidden="false" customHeight="false" outlineLevel="0" collapsed="false">
      <c r="A475" s="7" t="s">
        <v>1055</v>
      </c>
      <c r="B475" s="7" t="s">
        <v>1056</v>
      </c>
      <c r="C475" s="7" t="s">
        <v>392</v>
      </c>
      <c r="D475" s="7" t="s">
        <v>181</v>
      </c>
      <c r="E475" s="7" t="s">
        <v>182</v>
      </c>
      <c r="F475" s="7" t="s">
        <v>88</v>
      </c>
      <c r="G475" s="7" t="s">
        <v>65</v>
      </c>
      <c r="H475" s="7" t="s">
        <v>126</v>
      </c>
      <c r="I475" s="7" t="s">
        <v>75</v>
      </c>
      <c r="J475" s="7" t="n">
        <v>5</v>
      </c>
      <c r="K475" s="8" t="n">
        <v>4489</v>
      </c>
      <c r="L475" s="9" t="n">
        <v>0.1</v>
      </c>
      <c r="M475" s="8" t="n">
        <v>9777.85</v>
      </c>
      <c r="N475" s="8" t="n">
        <f aca="false">J475*K475*(1-L475)</f>
        <v>20200.5</v>
      </c>
      <c r="O475" s="8" t="n">
        <f aca="false">N475-M475</f>
        <v>10422.65</v>
      </c>
      <c r="P475" s="10" t="n">
        <f aca="false">IFERROR(O475/N475,0)</f>
        <v>0.515960000990074</v>
      </c>
      <c r="Q475" s="7" t="str">
        <f aca="false">TEXT(B475,"mmm")</f>
        <v>Nov</v>
      </c>
      <c r="R475" s="7" t="str">
        <f aca="false">TEXT(B475,"yyyy-mm")</f>
        <v>2024-11</v>
      </c>
    </row>
    <row r="476" customFormat="false" ht="15" hidden="false" customHeight="false" outlineLevel="0" collapsed="false">
      <c r="A476" s="7" t="s">
        <v>1057</v>
      </c>
      <c r="B476" s="7" t="s">
        <v>93</v>
      </c>
      <c r="C476" s="7" t="s">
        <v>265</v>
      </c>
      <c r="D476" s="7" t="s">
        <v>197</v>
      </c>
      <c r="E476" s="7" t="s">
        <v>198</v>
      </c>
      <c r="F476" s="7" t="s">
        <v>64</v>
      </c>
      <c r="G476" s="7" t="s">
        <v>65</v>
      </c>
      <c r="H476" s="7" t="s">
        <v>126</v>
      </c>
      <c r="I476" s="7" t="s">
        <v>51</v>
      </c>
      <c r="J476" s="7" t="n">
        <v>8</v>
      </c>
      <c r="K476" s="8" t="n">
        <v>2910</v>
      </c>
      <c r="L476" s="9" t="n">
        <v>0</v>
      </c>
      <c r="M476" s="8" t="n">
        <v>10721.28</v>
      </c>
      <c r="N476" s="8" t="n">
        <f aca="false">J476*K476*(1-L476)</f>
        <v>23280</v>
      </c>
      <c r="O476" s="8" t="n">
        <f aca="false">N476-M476</f>
        <v>12558.72</v>
      </c>
      <c r="P476" s="10" t="n">
        <f aca="false">IFERROR(O476/N476,0)</f>
        <v>0.539463917525773</v>
      </c>
      <c r="Q476" s="7" t="str">
        <f aca="false">TEXT(B476,"mmm")</f>
        <v>Nov</v>
      </c>
      <c r="R476" s="7" t="str">
        <f aca="false">TEXT(B476,"yyyy-mm")</f>
        <v>2024-11</v>
      </c>
    </row>
    <row r="477" customFormat="false" ht="15" hidden="false" customHeight="false" outlineLevel="0" collapsed="false">
      <c r="A477" s="7" t="s">
        <v>1058</v>
      </c>
      <c r="B477" s="7" t="s">
        <v>736</v>
      </c>
      <c r="C477" s="7" t="s">
        <v>284</v>
      </c>
      <c r="D477" s="7" t="s">
        <v>130</v>
      </c>
      <c r="E477" s="7" t="s">
        <v>131</v>
      </c>
      <c r="F477" s="7" t="s">
        <v>72</v>
      </c>
      <c r="G477" s="7" t="s">
        <v>65</v>
      </c>
      <c r="H477" s="7" t="s">
        <v>106</v>
      </c>
      <c r="I477" s="7" t="s">
        <v>75</v>
      </c>
      <c r="J477" s="7" t="n">
        <v>3</v>
      </c>
      <c r="K477" s="8" t="n">
        <v>7899</v>
      </c>
      <c r="L477" s="9" t="n">
        <v>0.25</v>
      </c>
      <c r="M477" s="8" t="n">
        <v>10217.49</v>
      </c>
      <c r="N477" s="8" t="n">
        <f aca="false">J477*K477*(1-L477)</f>
        <v>17772.75</v>
      </c>
      <c r="O477" s="8" t="n">
        <f aca="false">N477-M477</f>
        <v>7555.26</v>
      </c>
      <c r="P477" s="10" t="n">
        <f aca="false">IFERROR(O477/N477,0)</f>
        <v>0.425103599611765</v>
      </c>
      <c r="Q477" s="7" t="str">
        <f aca="false">TEXT(B477,"mmm")</f>
        <v>Aug</v>
      </c>
      <c r="R477" s="7" t="str">
        <f aca="false">TEXT(B477,"yyyy-mm")</f>
        <v>2024-08</v>
      </c>
    </row>
    <row r="478" customFormat="false" ht="15" hidden="false" customHeight="false" outlineLevel="0" collapsed="false">
      <c r="A478" s="7" t="s">
        <v>1059</v>
      </c>
      <c r="B478" s="7" t="s">
        <v>1012</v>
      </c>
      <c r="C478" s="7" t="s">
        <v>392</v>
      </c>
      <c r="D478" s="7" t="s">
        <v>55</v>
      </c>
      <c r="E478" s="7" t="s">
        <v>56</v>
      </c>
      <c r="F478" s="7" t="s">
        <v>57</v>
      </c>
      <c r="G478" s="7" t="s">
        <v>65</v>
      </c>
      <c r="H478" s="7" t="s">
        <v>106</v>
      </c>
      <c r="I478" s="7" t="s">
        <v>51</v>
      </c>
      <c r="J478" s="7" t="n">
        <v>2</v>
      </c>
      <c r="K478" s="8" t="n">
        <v>2850</v>
      </c>
      <c r="L478" s="9" t="n">
        <v>0.15</v>
      </c>
      <c r="M478" s="8" t="n">
        <v>4256.3</v>
      </c>
      <c r="N478" s="8" t="n">
        <f aca="false">J478*K478*(1-L478)</f>
        <v>4845</v>
      </c>
      <c r="O478" s="8" t="n">
        <f aca="false">N478-M478</f>
        <v>588.7</v>
      </c>
      <c r="P478" s="10" t="n">
        <f aca="false">IFERROR(O478/N478,0)</f>
        <v>0.121506707946336</v>
      </c>
      <c r="Q478" s="7" t="str">
        <f aca="false">TEXT(B478,"mmm")</f>
        <v>Oct</v>
      </c>
      <c r="R478" s="7" t="str">
        <f aca="false">TEXT(B478,"yyyy-mm")</f>
        <v>2024-10</v>
      </c>
    </row>
    <row r="479" customFormat="false" ht="15" hidden="false" customHeight="false" outlineLevel="0" collapsed="false">
      <c r="A479" s="7" t="s">
        <v>1060</v>
      </c>
      <c r="B479" s="7" t="s">
        <v>1014</v>
      </c>
      <c r="C479" s="7" t="s">
        <v>1020</v>
      </c>
      <c r="D479" s="7" t="s">
        <v>149</v>
      </c>
      <c r="E479" s="7" t="s">
        <v>150</v>
      </c>
      <c r="F479" s="7" t="s">
        <v>88</v>
      </c>
      <c r="G479" s="7" t="s">
        <v>81</v>
      </c>
      <c r="H479" s="7" t="s">
        <v>82</v>
      </c>
      <c r="I479" s="7" t="s">
        <v>51</v>
      </c>
      <c r="J479" s="7" t="n">
        <v>4</v>
      </c>
      <c r="K479" s="8" t="n">
        <v>5219</v>
      </c>
      <c r="L479" s="9" t="n">
        <v>0</v>
      </c>
      <c r="M479" s="8" t="n">
        <v>13964.16</v>
      </c>
      <c r="N479" s="8" t="n">
        <f aca="false">J479*K479*(1-L479)</f>
        <v>20876</v>
      </c>
      <c r="O479" s="8" t="n">
        <f aca="false">N479-M479</f>
        <v>6911.84</v>
      </c>
      <c r="P479" s="10" t="n">
        <f aca="false">IFERROR(O479/N479,0)</f>
        <v>0.331090247173788</v>
      </c>
      <c r="Q479" s="7" t="str">
        <f aca="false">TEXT(B479,"mmm")</f>
        <v>Apr</v>
      </c>
      <c r="R479" s="7" t="str">
        <f aca="false">TEXT(B479,"yyyy-mm")</f>
        <v>2024-04</v>
      </c>
    </row>
    <row r="480" customFormat="false" ht="15" hidden="false" customHeight="false" outlineLevel="0" collapsed="false">
      <c r="A480" s="7" t="s">
        <v>1061</v>
      </c>
      <c r="B480" s="7" t="s">
        <v>1062</v>
      </c>
      <c r="C480" s="7" t="s">
        <v>540</v>
      </c>
      <c r="D480" s="7" t="s">
        <v>144</v>
      </c>
      <c r="E480" s="7" t="s">
        <v>145</v>
      </c>
      <c r="F480" s="7" t="s">
        <v>48</v>
      </c>
      <c r="G480" s="7" t="s">
        <v>73</v>
      </c>
      <c r="H480" s="7" t="s">
        <v>115</v>
      </c>
      <c r="I480" s="7" t="s">
        <v>51</v>
      </c>
      <c r="J480" s="7" t="n">
        <v>4</v>
      </c>
      <c r="K480" s="8" t="n">
        <v>5149</v>
      </c>
      <c r="L480" s="9" t="n">
        <v>0</v>
      </c>
      <c r="M480" s="8" t="n">
        <v>8689.92</v>
      </c>
      <c r="N480" s="8" t="n">
        <f aca="false">J480*K480*(1-L480)</f>
        <v>20596</v>
      </c>
      <c r="O480" s="8" t="n">
        <f aca="false">N480-M480</f>
        <v>11906.08</v>
      </c>
      <c r="P480" s="10" t="n">
        <f aca="false">IFERROR(O480/N480,0)</f>
        <v>0.578077296562439</v>
      </c>
      <c r="Q480" s="7" t="str">
        <f aca="false">TEXT(B480,"mmm")</f>
        <v>Jan</v>
      </c>
      <c r="R480" s="7" t="str">
        <f aca="false">TEXT(B480,"yyyy-mm")</f>
        <v>2024-01</v>
      </c>
    </row>
    <row r="481" customFormat="false" ht="15" hidden="false" customHeight="false" outlineLevel="0" collapsed="false">
      <c r="A481" s="7" t="s">
        <v>1063</v>
      </c>
      <c r="B481" s="7" t="s">
        <v>385</v>
      </c>
      <c r="C481" s="7" t="s">
        <v>670</v>
      </c>
      <c r="D481" s="7" t="s">
        <v>459</v>
      </c>
      <c r="E481" s="7" t="s">
        <v>460</v>
      </c>
      <c r="F481" s="7" t="s">
        <v>64</v>
      </c>
      <c r="G481" s="7" t="s">
        <v>73</v>
      </c>
      <c r="H481" s="7" t="s">
        <v>266</v>
      </c>
      <c r="I481" s="7" t="s">
        <v>51</v>
      </c>
      <c r="J481" s="7" t="n">
        <v>4</v>
      </c>
      <c r="K481" s="8" t="n">
        <v>1520</v>
      </c>
      <c r="L481" s="9" t="n">
        <v>0</v>
      </c>
      <c r="M481" s="8" t="n">
        <v>3542.84</v>
      </c>
      <c r="N481" s="8" t="n">
        <f aca="false">J481*K481*(1-L481)</f>
        <v>6080</v>
      </c>
      <c r="O481" s="8" t="n">
        <f aca="false">N481-M481</f>
        <v>2537.16</v>
      </c>
      <c r="P481" s="10" t="n">
        <f aca="false">IFERROR(O481/N481,0)</f>
        <v>0.417296052631579</v>
      </c>
      <c r="Q481" s="7" t="str">
        <f aca="false">TEXT(B481,"mmm")</f>
        <v>Jul</v>
      </c>
      <c r="R481" s="7" t="str">
        <f aca="false">TEXT(B481,"yyyy-mm")</f>
        <v>2024-07</v>
      </c>
    </row>
    <row r="482" customFormat="false" ht="15" hidden="false" customHeight="false" outlineLevel="0" collapsed="false">
      <c r="A482" s="7" t="s">
        <v>1064</v>
      </c>
      <c r="B482" s="7" t="s">
        <v>1065</v>
      </c>
      <c r="C482" s="7" t="s">
        <v>153</v>
      </c>
      <c r="D482" s="7" t="s">
        <v>360</v>
      </c>
      <c r="E482" s="7" t="s">
        <v>361</v>
      </c>
      <c r="F482" s="7" t="s">
        <v>48</v>
      </c>
      <c r="G482" s="7" t="s">
        <v>49</v>
      </c>
      <c r="H482" s="7" t="s">
        <v>50</v>
      </c>
      <c r="I482" s="7" t="s">
        <v>51</v>
      </c>
      <c r="J482" s="7" t="n">
        <v>2</v>
      </c>
      <c r="K482" s="8" t="n">
        <v>679</v>
      </c>
      <c r="L482" s="9" t="n">
        <v>0.15</v>
      </c>
      <c r="M482" s="8" t="n">
        <v>921.4</v>
      </c>
      <c r="N482" s="8" t="n">
        <f aca="false">J482*K482*(1-L482)</f>
        <v>1154.3</v>
      </c>
      <c r="O482" s="8" t="n">
        <f aca="false">N482-M482</f>
        <v>232.9</v>
      </c>
      <c r="P482" s="10" t="n">
        <f aca="false">IFERROR(O482/N482,0)</f>
        <v>0.201767304860088</v>
      </c>
      <c r="Q482" s="7" t="str">
        <f aca="false">TEXT(B482,"mmm")</f>
        <v>Aug</v>
      </c>
      <c r="R482" s="7" t="str">
        <f aca="false">TEXT(B482,"yyyy-mm")</f>
        <v>2024-08</v>
      </c>
    </row>
    <row r="483" customFormat="false" ht="15" hidden="false" customHeight="false" outlineLevel="0" collapsed="false">
      <c r="A483" s="7" t="s">
        <v>1066</v>
      </c>
      <c r="B483" s="7" t="s">
        <v>1067</v>
      </c>
      <c r="C483" s="7" t="s">
        <v>903</v>
      </c>
      <c r="D483" s="7" t="s">
        <v>295</v>
      </c>
      <c r="E483" s="7" t="s">
        <v>296</v>
      </c>
      <c r="F483" s="7" t="s">
        <v>64</v>
      </c>
      <c r="G483" s="7" t="s">
        <v>65</v>
      </c>
      <c r="H483" s="7" t="s">
        <v>106</v>
      </c>
      <c r="I483" s="7" t="s">
        <v>75</v>
      </c>
      <c r="J483" s="7" t="n">
        <v>2</v>
      </c>
      <c r="K483" s="8" t="n">
        <v>1249</v>
      </c>
      <c r="L483" s="9" t="n">
        <v>0</v>
      </c>
      <c r="M483" s="8" t="n">
        <v>1834.62</v>
      </c>
      <c r="N483" s="8" t="n">
        <f aca="false">J483*K483*(1-L483)</f>
        <v>2498</v>
      </c>
      <c r="O483" s="8" t="n">
        <f aca="false">N483-M483</f>
        <v>663.38</v>
      </c>
      <c r="P483" s="10" t="n">
        <f aca="false">IFERROR(O483/N483,0)</f>
        <v>0.265564451561249</v>
      </c>
      <c r="Q483" s="7" t="str">
        <f aca="false">TEXT(B483,"mmm")</f>
        <v>Apr</v>
      </c>
      <c r="R483" s="7" t="str">
        <f aca="false">TEXT(B483,"yyyy-mm")</f>
        <v>2024-04</v>
      </c>
    </row>
    <row r="484" customFormat="false" ht="15" hidden="false" customHeight="false" outlineLevel="0" collapsed="false">
      <c r="A484" s="7" t="s">
        <v>1068</v>
      </c>
      <c r="B484" s="7" t="s">
        <v>1069</v>
      </c>
      <c r="C484" s="7" t="s">
        <v>220</v>
      </c>
      <c r="D484" s="7" t="s">
        <v>459</v>
      </c>
      <c r="E484" s="7" t="s">
        <v>460</v>
      </c>
      <c r="F484" s="7" t="s">
        <v>64</v>
      </c>
      <c r="G484" s="7" t="s">
        <v>65</v>
      </c>
      <c r="H484" s="7" t="s">
        <v>126</v>
      </c>
      <c r="I484" s="7" t="s">
        <v>51</v>
      </c>
      <c r="J484" s="7" t="n">
        <v>8</v>
      </c>
      <c r="K484" s="8" t="n">
        <v>1520</v>
      </c>
      <c r="L484" s="9" t="n">
        <v>0.2</v>
      </c>
      <c r="M484" s="8" t="n">
        <v>7085.68</v>
      </c>
      <c r="N484" s="8" t="n">
        <f aca="false">J484*K484*(1-L484)</f>
        <v>9728</v>
      </c>
      <c r="O484" s="8" t="n">
        <f aca="false">N484-M484</f>
        <v>2642.32</v>
      </c>
      <c r="P484" s="10" t="n">
        <f aca="false">IFERROR(O484/N484,0)</f>
        <v>0.271620065789474</v>
      </c>
      <c r="Q484" s="7" t="str">
        <f aca="false">TEXT(B484,"mmm")</f>
        <v>Oct</v>
      </c>
      <c r="R484" s="7" t="str">
        <f aca="false">TEXT(B484,"yyyy-mm")</f>
        <v>2024-10</v>
      </c>
    </row>
    <row r="485" customFormat="false" ht="15" hidden="false" customHeight="false" outlineLevel="0" collapsed="false">
      <c r="A485" s="7" t="s">
        <v>1070</v>
      </c>
      <c r="B485" s="7" t="s">
        <v>388</v>
      </c>
      <c r="C485" s="7" t="s">
        <v>711</v>
      </c>
      <c r="D485" s="7" t="s">
        <v>295</v>
      </c>
      <c r="E485" s="7" t="s">
        <v>296</v>
      </c>
      <c r="F485" s="7" t="s">
        <v>64</v>
      </c>
      <c r="G485" s="7" t="s">
        <v>81</v>
      </c>
      <c r="H485" s="7" t="s">
        <v>109</v>
      </c>
      <c r="I485" s="7" t="s">
        <v>51</v>
      </c>
      <c r="J485" s="7" t="n">
        <v>3</v>
      </c>
      <c r="K485" s="8" t="n">
        <v>1249</v>
      </c>
      <c r="L485" s="9" t="n">
        <v>0.2</v>
      </c>
      <c r="M485" s="8" t="n">
        <v>2751.93</v>
      </c>
      <c r="N485" s="8" t="n">
        <f aca="false">J485*K485*(1-L485)</f>
        <v>2997.6</v>
      </c>
      <c r="O485" s="8" t="n">
        <f aca="false">N485-M485</f>
        <v>245.670000000001</v>
      </c>
      <c r="P485" s="10" t="n">
        <f aca="false">IFERROR(O485/N485,0)</f>
        <v>0.0819555644515614</v>
      </c>
      <c r="Q485" s="7" t="str">
        <f aca="false">TEXT(B485,"mmm")</f>
        <v>Jan</v>
      </c>
      <c r="R485" s="7" t="str">
        <f aca="false">TEXT(B485,"yyyy-mm")</f>
        <v>2024-01</v>
      </c>
    </row>
    <row r="486" customFormat="false" ht="15" hidden="false" customHeight="false" outlineLevel="0" collapsed="false">
      <c r="A486" s="7" t="s">
        <v>1071</v>
      </c>
      <c r="B486" s="7" t="s">
        <v>357</v>
      </c>
      <c r="C486" s="7" t="s">
        <v>370</v>
      </c>
      <c r="D486" s="7" t="s">
        <v>227</v>
      </c>
      <c r="E486" s="7" t="s">
        <v>228</v>
      </c>
      <c r="F486" s="7" t="s">
        <v>64</v>
      </c>
      <c r="G486" s="7" t="s">
        <v>65</v>
      </c>
      <c r="H486" s="7" t="s">
        <v>66</v>
      </c>
      <c r="I486" s="7" t="s">
        <v>51</v>
      </c>
      <c r="J486" s="7" t="n">
        <v>1</v>
      </c>
      <c r="K486" s="8" t="n">
        <v>5529</v>
      </c>
      <c r="L486" s="9" t="n">
        <v>0.2</v>
      </c>
      <c r="M486" s="8" t="n">
        <v>3052.72</v>
      </c>
      <c r="N486" s="8" t="n">
        <f aca="false">J486*K486*(1-L486)</f>
        <v>4423.2</v>
      </c>
      <c r="O486" s="8" t="n">
        <f aca="false">N486-M486</f>
        <v>1370.48</v>
      </c>
      <c r="P486" s="10" t="n">
        <f aca="false">IFERROR(O486/N486,0)</f>
        <v>0.309839030566106</v>
      </c>
      <c r="Q486" s="7" t="str">
        <f aca="false">TEXT(B486,"mmm")</f>
        <v>Aug</v>
      </c>
      <c r="R486" s="7" t="str">
        <f aca="false">TEXT(B486,"yyyy-mm")</f>
        <v>2024-08</v>
      </c>
    </row>
    <row r="487" customFormat="false" ht="15" hidden="false" customHeight="false" outlineLevel="0" collapsed="false">
      <c r="A487" s="7" t="s">
        <v>1072</v>
      </c>
      <c r="B487" s="7" t="s">
        <v>274</v>
      </c>
      <c r="C487" s="7" t="s">
        <v>373</v>
      </c>
      <c r="D487" s="7" t="s">
        <v>162</v>
      </c>
      <c r="E487" s="7" t="s">
        <v>163</v>
      </c>
      <c r="F487" s="7" t="s">
        <v>57</v>
      </c>
      <c r="G487" s="7" t="s">
        <v>65</v>
      </c>
      <c r="H487" s="7" t="s">
        <v>106</v>
      </c>
      <c r="I487" s="7" t="s">
        <v>75</v>
      </c>
      <c r="J487" s="7" t="n">
        <v>6</v>
      </c>
      <c r="K487" s="8" t="n">
        <v>4629</v>
      </c>
      <c r="L487" s="9" t="n">
        <v>0.1</v>
      </c>
      <c r="M487" s="8" t="n">
        <v>12181.02</v>
      </c>
      <c r="N487" s="8" t="n">
        <f aca="false">J487*K487*(1-L487)</f>
        <v>24996.6</v>
      </c>
      <c r="O487" s="8" t="n">
        <f aca="false">N487-M487</f>
        <v>12815.58</v>
      </c>
      <c r="P487" s="10" t="n">
        <f aca="false">IFERROR(O487/N487,0)</f>
        <v>0.512692926237968</v>
      </c>
      <c r="Q487" s="7" t="str">
        <f aca="false">TEXT(B487,"mmm")</f>
        <v>Dec</v>
      </c>
      <c r="R487" s="7" t="str">
        <f aca="false">TEXT(B487,"yyyy-mm")</f>
        <v>2024-12</v>
      </c>
    </row>
    <row r="488" customFormat="false" ht="15" hidden="false" customHeight="false" outlineLevel="0" collapsed="false">
      <c r="A488" s="7" t="s">
        <v>1073</v>
      </c>
      <c r="B488" s="7" t="s">
        <v>1050</v>
      </c>
      <c r="C488" s="7" t="s">
        <v>649</v>
      </c>
      <c r="D488" s="7" t="s">
        <v>314</v>
      </c>
      <c r="E488" s="7" t="s">
        <v>315</v>
      </c>
      <c r="F488" s="7" t="s">
        <v>64</v>
      </c>
      <c r="G488" s="7" t="s">
        <v>65</v>
      </c>
      <c r="H488" s="7" t="s">
        <v>66</v>
      </c>
      <c r="I488" s="7" t="s">
        <v>75</v>
      </c>
      <c r="J488" s="7" t="n">
        <v>3</v>
      </c>
      <c r="K488" s="8" t="n">
        <v>4059</v>
      </c>
      <c r="L488" s="9" t="n">
        <v>0</v>
      </c>
      <c r="M488" s="8" t="n">
        <v>6838.62</v>
      </c>
      <c r="N488" s="8" t="n">
        <f aca="false">J488*K488*(1-L488)</f>
        <v>12177</v>
      </c>
      <c r="O488" s="8" t="n">
        <f aca="false">N488-M488</f>
        <v>5338.38</v>
      </c>
      <c r="P488" s="10" t="n">
        <f aca="false">IFERROR(O488/N488,0)</f>
        <v>0.43839862034984</v>
      </c>
      <c r="Q488" s="7" t="str">
        <f aca="false">TEXT(B488,"mmm")</f>
        <v>Aug</v>
      </c>
      <c r="R488" s="7" t="str">
        <f aca="false">TEXT(B488,"yyyy-mm")</f>
        <v>2024-08</v>
      </c>
    </row>
    <row r="489" customFormat="false" ht="15" hidden="false" customHeight="false" outlineLevel="0" collapsed="false">
      <c r="A489" s="7" t="s">
        <v>1074</v>
      </c>
      <c r="B489" s="7" t="s">
        <v>1075</v>
      </c>
      <c r="C489" s="7" t="s">
        <v>422</v>
      </c>
      <c r="D489" s="7" t="s">
        <v>162</v>
      </c>
      <c r="E489" s="7" t="s">
        <v>163</v>
      </c>
      <c r="F489" s="7" t="s">
        <v>57</v>
      </c>
      <c r="G489" s="7" t="s">
        <v>65</v>
      </c>
      <c r="H489" s="7" t="s">
        <v>126</v>
      </c>
      <c r="I489" s="7" t="s">
        <v>51</v>
      </c>
      <c r="J489" s="7" t="n">
        <v>4</v>
      </c>
      <c r="K489" s="8" t="n">
        <v>4629</v>
      </c>
      <c r="L489" s="9" t="n">
        <v>0</v>
      </c>
      <c r="M489" s="8" t="n">
        <v>8120.68</v>
      </c>
      <c r="N489" s="8" t="n">
        <f aca="false">J489*K489*(1-L489)</f>
        <v>18516</v>
      </c>
      <c r="O489" s="8" t="n">
        <f aca="false">N489-M489</f>
        <v>10395.32</v>
      </c>
      <c r="P489" s="10" t="n">
        <f aca="false">IFERROR(O489/N489,0)</f>
        <v>0.561423633614172</v>
      </c>
      <c r="Q489" s="7" t="str">
        <f aca="false">TEXT(B489,"mmm")</f>
        <v>Feb</v>
      </c>
      <c r="R489" s="7" t="str">
        <f aca="false">TEXT(B489,"yyyy-mm")</f>
        <v>2024-02</v>
      </c>
    </row>
    <row r="490" customFormat="false" ht="15" hidden="false" customHeight="false" outlineLevel="0" collapsed="false">
      <c r="A490" s="7" t="s">
        <v>1076</v>
      </c>
      <c r="B490" s="7" t="s">
        <v>520</v>
      </c>
      <c r="C490" s="7" t="s">
        <v>566</v>
      </c>
      <c r="D490" s="7" t="s">
        <v>441</v>
      </c>
      <c r="E490" s="7" t="s">
        <v>442</v>
      </c>
      <c r="F490" s="7" t="s">
        <v>64</v>
      </c>
      <c r="G490" s="7" t="s">
        <v>73</v>
      </c>
      <c r="H490" s="7" t="s">
        <v>74</v>
      </c>
      <c r="I490" s="7" t="s">
        <v>75</v>
      </c>
      <c r="J490" s="7" t="n">
        <v>4</v>
      </c>
      <c r="K490" s="8" t="n">
        <v>3349</v>
      </c>
      <c r="L490" s="9" t="n">
        <v>0.05</v>
      </c>
      <c r="M490" s="8" t="n">
        <v>8762.36</v>
      </c>
      <c r="N490" s="8" t="n">
        <f aca="false">J490*K490*(1-L490)</f>
        <v>12726.2</v>
      </c>
      <c r="O490" s="8" t="n">
        <f aca="false">N490-M490</f>
        <v>3963.84</v>
      </c>
      <c r="P490" s="10" t="n">
        <f aca="false">IFERROR(O490/N490,0)</f>
        <v>0.311470823969449</v>
      </c>
      <c r="Q490" s="7" t="str">
        <f aca="false">TEXT(B490,"mmm")</f>
        <v>Aug</v>
      </c>
      <c r="R490" s="7" t="str">
        <f aca="false">TEXT(B490,"yyyy-mm")</f>
        <v>2024-08</v>
      </c>
    </row>
    <row r="491" customFormat="false" ht="15" hidden="false" customHeight="false" outlineLevel="0" collapsed="false">
      <c r="A491" s="7" t="s">
        <v>1077</v>
      </c>
      <c r="B491" s="7" t="s">
        <v>614</v>
      </c>
      <c r="C491" s="7" t="s">
        <v>566</v>
      </c>
      <c r="D491" s="7" t="s">
        <v>201</v>
      </c>
      <c r="E491" s="7" t="s">
        <v>202</v>
      </c>
      <c r="F491" s="7" t="s">
        <v>72</v>
      </c>
      <c r="G491" s="7" t="s">
        <v>73</v>
      </c>
      <c r="H491" s="7" t="s">
        <v>115</v>
      </c>
      <c r="I491" s="7" t="s">
        <v>75</v>
      </c>
      <c r="J491" s="7" t="n">
        <v>1</v>
      </c>
      <c r="K491" s="8" t="n">
        <v>3990</v>
      </c>
      <c r="L491" s="9" t="n">
        <v>0</v>
      </c>
      <c r="M491" s="8" t="n">
        <v>3033.61</v>
      </c>
      <c r="N491" s="8" t="n">
        <f aca="false">J491*K491*(1-L491)</f>
        <v>3990</v>
      </c>
      <c r="O491" s="8" t="n">
        <f aca="false">N491-M491</f>
        <v>956.39</v>
      </c>
      <c r="P491" s="10" t="n">
        <f aca="false">IFERROR(O491/N491,0)</f>
        <v>0.239696741854637</v>
      </c>
      <c r="Q491" s="7" t="str">
        <f aca="false">TEXT(B491,"mmm")</f>
        <v>Jul</v>
      </c>
      <c r="R491" s="7" t="str">
        <f aca="false">TEXT(B491,"yyyy-mm")</f>
        <v>2024-07</v>
      </c>
    </row>
    <row r="492" customFormat="false" ht="15" hidden="false" customHeight="false" outlineLevel="0" collapsed="false">
      <c r="A492" s="7" t="s">
        <v>1078</v>
      </c>
      <c r="B492" s="7" t="s">
        <v>439</v>
      </c>
      <c r="C492" s="7" t="s">
        <v>161</v>
      </c>
      <c r="D492" s="7" t="s">
        <v>549</v>
      </c>
      <c r="E492" s="7" t="s">
        <v>550</v>
      </c>
      <c r="F492" s="7" t="s">
        <v>48</v>
      </c>
      <c r="G492" s="7" t="s">
        <v>81</v>
      </c>
      <c r="H492" s="7" t="s">
        <v>109</v>
      </c>
      <c r="I492" s="7" t="s">
        <v>75</v>
      </c>
      <c r="J492" s="7" t="n">
        <v>2</v>
      </c>
      <c r="K492" s="8" t="n">
        <v>3419</v>
      </c>
      <c r="L492" s="9" t="n">
        <v>0</v>
      </c>
      <c r="M492" s="8" t="n">
        <v>5020.64</v>
      </c>
      <c r="N492" s="8" t="n">
        <f aca="false">J492*K492*(1-L492)</f>
        <v>6838</v>
      </c>
      <c r="O492" s="8" t="n">
        <f aca="false">N492-M492</f>
        <v>1817.36</v>
      </c>
      <c r="P492" s="10" t="n">
        <f aca="false">IFERROR(O492/N492,0)</f>
        <v>0.265773618016964</v>
      </c>
      <c r="Q492" s="7" t="str">
        <f aca="false">TEXT(B492,"mmm")</f>
        <v>Aug</v>
      </c>
      <c r="R492" s="7" t="str">
        <f aca="false">TEXT(B492,"yyyy-mm")</f>
        <v>2024-08</v>
      </c>
    </row>
    <row r="493" customFormat="false" ht="15" hidden="false" customHeight="false" outlineLevel="0" collapsed="false">
      <c r="A493" s="7" t="s">
        <v>1079</v>
      </c>
      <c r="B493" s="7" t="s">
        <v>346</v>
      </c>
      <c r="C493" s="7" t="s">
        <v>191</v>
      </c>
      <c r="D493" s="7" t="s">
        <v>46</v>
      </c>
      <c r="E493" s="7" t="s">
        <v>47</v>
      </c>
      <c r="F493" s="7" t="s">
        <v>48</v>
      </c>
      <c r="G493" s="7" t="s">
        <v>81</v>
      </c>
      <c r="H493" s="7" t="s">
        <v>186</v>
      </c>
      <c r="I493" s="7" t="s">
        <v>51</v>
      </c>
      <c r="J493" s="7" t="n">
        <v>3</v>
      </c>
      <c r="K493" s="8" t="n">
        <v>4349</v>
      </c>
      <c r="L493" s="9" t="n">
        <v>0.1</v>
      </c>
      <c r="M493" s="8" t="n">
        <v>7466.31</v>
      </c>
      <c r="N493" s="8" t="n">
        <f aca="false">J493*K493*(1-L493)</f>
        <v>11742.3</v>
      </c>
      <c r="O493" s="8" t="n">
        <f aca="false">N493-M493</f>
        <v>4275.99</v>
      </c>
      <c r="P493" s="10" t="n">
        <f aca="false">IFERROR(O493/N493,0)</f>
        <v>0.36415267877673</v>
      </c>
      <c r="Q493" s="7" t="str">
        <f aca="false">TEXT(B493,"mmm")</f>
        <v>Apr</v>
      </c>
      <c r="R493" s="7" t="str">
        <f aca="false">TEXT(B493,"yyyy-mm")</f>
        <v>2024-04</v>
      </c>
    </row>
    <row r="494" customFormat="false" ht="15" hidden="false" customHeight="false" outlineLevel="0" collapsed="false">
      <c r="A494" s="7" t="s">
        <v>1080</v>
      </c>
      <c r="B494" s="7" t="s">
        <v>705</v>
      </c>
      <c r="C494" s="7" t="s">
        <v>302</v>
      </c>
      <c r="D494" s="7" t="s">
        <v>154</v>
      </c>
      <c r="E494" s="7" t="s">
        <v>155</v>
      </c>
      <c r="F494" s="7" t="s">
        <v>57</v>
      </c>
      <c r="G494" s="7" t="s">
        <v>73</v>
      </c>
      <c r="H494" s="7" t="s">
        <v>115</v>
      </c>
      <c r="I494" s="7" t="s">
        <v>51</v>
      </c>
      <c r="J494" s="7" t="n">
        <v>6</v>
      </c>
      <c r="K494" s="8" t="n">
        <v>2949</v>
      </c>
      <c r="L494" s="9" t="n">
        <v>0</v>
      </c>
      <c r="M494" s="8" t="n">
        <v>9332.34</v>
      </c>
      <c r="N494" s="8" t="n">
        <f aca="false">J494*K494*(1-L494)</f>
        <v>17694</v>
      </c>
      <c r="O494" s="8" t="n">
        <f aca="false">N494-M494</f>
        <v>8361.66</v>
      </c>
      <c r="P494" s="10" t="n">
        <f aca="false">IFERROR(O494/N494,0)</f>
        <v>0.472570362834859</v>
      </c>
      <c r="Q494" s="7" t="str">
        <f aca="false">TEXT(B494,"mmm")</f>
        <v>Dec</v>
      </c>
      <c r="R494" s="7" t="str">
        <f aca="false">TEXT(B494,"yyyy-mm")</f>
        <v>2024-12</v>
      </c>
    </row>
    <row r="495" customFormat="false" ht="15" hidden="false" customHeight="false" outlineLevel="0" collapsed="false">
      <c r="A495" s="7" t="s">
        <v>1081</v>
      </c>
      <c r="B495" s="7" t="s">
        <v>1082</v>
      </c>
      <c r="C495" s="7" t="s">
        <v>941</v>
      </c>
      <c r="D495" s="7" t="s">
        <v>79</v>
      </c>
      <c r="E495" s="7" t="s">
        <v>80</v>
      </c>
      <c r="F495" s="7" t="s">
        <v>72</v>
      </c>
      <c r="G495" s="7" t="s">
        <v>49</v>
      </c>
      <c r="H495" s="7" t="s">
        <v>172</v>
      </c>
      <c r="I495" s="7" t="s">
        <v>51</v>
      </c>
      <c r="J495" s="7" t="n">
        <v>3</v>
      </c>
      <c r="K495" s="8" t="n">
        <v>4769</v>
      </c>
      <c r="L495" s="9" t="n">
        <v>0</v>
      </c>
      <c r="M495" s="8" t="n">
        <v>8174.43</v>
      </c>
      <c r="N495" s="8" t="n">
        <f aca="false">J495*K495*(1-L495)</f>
        <v>14307</v>
      </c>
      <c r="O495" s="8" t="n">
        <f aca="false">N495-M495</f>
        <v>6132.57</v>
      </c>
      <c r="P495" s="10" t="n">
        <f aca="false">IFERROR(O495/N495,0)</f>
        <v>0.428641224575383</v>
      </c>
      <c r="Q495" s="7" t="str">
        <f aca="false">TEXT(B495,"mmm")</f>
        <v>Dec</v>
      </c>
      <c r="R495" s="7" t="str">
        <f aca="false">TEXT(B495,"yyyy-mm")</f>
        <v>2024-12</v>
      </c>
    </row>
    <row r="496" customFormat="false" ht="15" hidden="false" customHeight="false" outlineLevel="0" collapsed="false">
      <c r="A496" s="7" t="s">
        <v>1083</v>
      </c>
      <c r="B496" s="7" t="s">
        <v>1084</v>
      </c>
      <c r="C496" s="7" t="s">
        <v>94</v>
      </c>
      <c r="D496" s="7" t="s">
        <v>95</v>
      </c>
      <c r="E496" s="7" t="s">
        <v>96</v>
      </c>
      <c r="F496" s="7" t="s">
        <v>48</v>
      </c>
      <c r="G496" s="7" t="s">
        <v>73</v>
      </c>
      <c r="H496" s="7" t="s">
        <v>211</v>
      </c>
      <c r="I496" s="7" t="s">
        <v>75</v>
      </c>
      <c r="J496" s="7" t="n">
        <v>4</v>
      </c>
      <c r="K496" s="8" t="n">
        <v>5529</v>
      </c>
      <c r="L496" s="9" t="n">
        <v>0</v>
      </c>
      <c r="M496" s="8" t="n">
        <v>12465.04</v>
      </c>
      <c r="N496" s="8" t="n">
        <f aca="false">J496*K496*(1-L496)</f>
        <v>22116</v>
      </c>
      <c r="O496" s="8" t="n">
        <f aca="false">N496-M496</f>
        <v>9650.96</v>
      </c>
      <c r="P496" s="10" t="n">
        <f aca="false">IFERROR(O496/N496,0)</f>
        <v>0.436379092060047</v>
      </c>
      <c r="Q496" s="7" t="str">
        <f aca="false">TEXT(B496,"mmm")</f>
        <v>Jun</v>
      </c>
      <c r="R496" s="7" t="str">
        <f aca="false">TEXT(B496,"yyyy-mm")</f>
        <v>2024-06</v>
      </c>
    </row>
    <row r="497" customFormat="false" ht="15" hidden="false" customHeight="false" outlineLevel="0" collapsed="false">
      <c r="A497" s="7" t="s">
        <v>1085</v>
      </c>
      <c r="B497" s="7" t="s">
        <v>252</v>
      </c>
      <c r="C497" s="7" t="s">
        <v>175</v>
      </c>
      <c r="D497" s="7" t="s">
        <v>130</v>
      </c>
      <c r="E497" s="7" t="s">
        <v>131</v>
      </c>
      <c r="F497" s="7" t="s">
        <v>72</v>
      </c>
      <c r="G497" s="7" t="s">
        <v>81</v>
      </c>
      <c r="H497" s="7" t="s">
        <v>237</v>
      </c>
      <c r="I497" s="7" t="s">
        <v>51</v>
      </c>
      <c r="J497" s="7" t="n">
        <v>5</v>
      </c>
      <c r="K497" s="8" t="n">
        <v>7899</v>
      </c>
      <c r="L497" s="9" t="n">
        <v>0.25</v>
      </c>
      <c r="M497" s="8" t="n">
        <v>17029.15</v>
      </c>
      <c r="N497" s="8" t="n">
        <f aca="false">J497*K497*(1-L497)</f>
        <v>29621.25</v>
      </c>
      <c r="O497" s="8" t="n">
        <f aca="false">N497-M497</f>
        <v>12592.1</v>
      </c>
      <c r="P497" s="10" t="n">
        <f aca="false">IFERROR(O497/N497,0)</f>
        <v>0.425103599611765</v>
      </c>
      <c r="Q497" s="7" t="str">
        <f aca="false">TEXT(B497,"mmm")</f>
        <v>Oct</v>
      </c>
      <c r="R497" s="7" t="str">
        <f aca="false">TEXT(B497,"yyyy-mm")</f>
        <v>2024-10</v>
      </c>
    </row>
    <row r="498" customFormat="false" ht="15" hidden="false" customHeight="false" outlineLevel="0" collapsed="false">
      <c r="A498" s="7" t="s">
        <v>1086</v>
      </c>
      <c r="B498" s="7" t="s">
        <v>799</v>
      </c>
      <c r="C498" s="7" t="s">
        <v>118</v>
      </c>
      <c r="D498" s="7" t="s">
        <v>144</v>
      </c>
      <c r="E498" s="7" t="s">
        <v>145</v>
      </c>
      <c r="F498" s="7" t="s">
        <v>48</v>
      </c>
      <c r="G498" s="7" t="s">
        <v>73</v>
      </c>
      <c r="H498" s="7" t="s">
        <v>211</v>
      </c>
      <c r="I498" s="7" t="s">
        <v>75</v>
      </c>
      <c r="J498" s="7" t="n">
        <v>5</v>
      </c>
      <c r="K498" s="8" t="n">
        <v>5149</v>
      </c>
      <c r="L498" s="9" t="n">
        <v>0</v>
      </c>
      <c r="M498" s="8" t="n">
        <v>10862.4</v>
      </c>
      <c r="N498" s="8" t="n">
        <f aca="false">J498*K498*(1-L498)</f>
        <v>25745</v>
      </c>
      <c r="O498" s="8" t="n">
        <f aca="false">N498-M498</f>
        <v>14882.6</v>
      </c>
      <c r="P498" s="10" t="n">
        <f aca="false">IFERROR(O498/N498,0)</f>
        <v>0.578077296562439</v>
      </c>
      <c r="Q498" s="7" t="str">
        <f aca="false">TEXT(B498,"mmm")</f>
        <v>Oct</v>
      </c>
      <c r="R498" s="7" t="str">
        <f aca="false">TEXT(B498,"yyyy-mm")</f>
        <v>2024-10</v>
      </c>
    </row>
    <row r="499" customFormat="false" ht="15" hidden="false" customHeight="false" outlineLevel="0" collapsed="false">
      <c r="A499" s="7" t="s">
        <v>1087</v>
      </c>
      <c r="B499" s="7" t="s">
        <v>1088</v>
      </c>
      <c r="C499" s="7" t="s">
        <v>78</v>
      </c>
      <c r="D499" s="7" t="s">
        <v>287</v>
      </c>
      <c r="E499" s="7" t="s">
        <v>288</v>
      </c>
      <c r="F499" s="7" t="s">
        <v>72</v>
      </c>
      <c r="G499" s="7" t="s">
        <v>81</v>
      </c>
      <c r="H499" s="7" t="s">
        <v>186</v>
      </c>
      <c r="I499" s="7" t="s">
        <v>75</v>
      </c>
      <c r="J499" s="7" t="n">
        <v>3</v>
      </c>
      <c r="K499" s="8" t="n">
        <v>1049</v>
      </c>
      <c r="L499" s="9" t="n">
        <v>0.25</v>
      </c>
      <c r="M499" s="8" t="n">
        <v>1986.06</v>
      </c>
      <c r="N499" s="8" t="n">
        <f aca="false">J499*K499*(1-L499)</f>
        <v>2360.25</v>
      </c>
      <c r="O499" s="8" t="n">
        <f aca="false">N499-M499</f>
        <v>374.19</v>
      </c>
      <c r="P499" s="10" t="n">
        <f aca="false">IFERROR(O499/N499,0)</f>
        <v>0.158538290435335</v>
      </c>
      <c r="Q499" s="7" t="str">
        <f aca="false">TEXT(B499,"mmm")</f>
        <v>Sep</v>
      </c>
      <c r="R499" s="7" t="str">
        <f aca="false">TEXT(B499,"yyyy-mm")</f>
        <v>2024-09</v>
      </c>
    </row>
    <row r="500" customFormat="false" ht="15" hidden="false" customHeight="false" outlineLevel="0" collapsed="false">
      <c r="A500" s="7" t="s">
        <v>1089</v>
      </c>
      <c r="B500" s="7" t="s">
        <v>1067</v>
      </c>
      <c r="C500" s="7" t="s">
        <v>299</v>
      </c>
      <c r="D500" s="7" t="s">
        <v>176</v>
      </c>
      <c r="E500" s="7" t="s">
        <v>177</v>
      </c>
      <c r="F500" s="7" t="s">
        <v>72</v>
      </c>
      <c r="G500" s="7" t="s">
        <v>81</v>
      </c>
      <c r="H500" s="7" t="s">
        <v>82</v>
      </c>
      <c r="I500" s="7" t="s">
        <v>51</v>
      </c>
      <c r="J500" s="7" t="n">
        <v>6</v>
      </c>
      <c r="K500" s="8" t="n">
        <v>3969</v>
      </c>
      <c r="L500" s="9" t="n">
        <v>0</v>
      </c>
      <c r="M500" s="8" t="n">
        <v>12887.82</v>
      </c>
      <c r="N500" s="8" t="n">
        <f aca="false">J500*K500*(1-L500)</f>
        <v>23814</v>
      </c>
      <c r="O500" s="8" t="n">
        <f aca="false">N500-M500</f>
        <v>10926.18</v>
      </c>
      <c r="P500" s="10" t="n">
        <f aca="false">IFERROR(O500/N500,0)</f>
        <v>0.458813303099017</v>
      </c>
      <c r="Q500" s="7" t="str">
        <f aca="false">TEXT(B500,"mmm")</f>
        <v>Apr</v>
      </c>
      <c r="R500" s="7" t="str">
        <f aca="false">TEXT(B500,"yyyy-mm")</f>
        <v>2024-04</v>
      </c>
    </row>
    <row r="501" customFormat="false" ht="15" hidden="false" customHeight="false" outlineLevel="0" collapsed="false">
      <c r="A501" s="7" t="s">
        <v>1090</v>
      </c>
      <c r="B501" s="7" t="s">
        <v>822</v>
      </c>
      <c r="C501" s="7" t="s">
        <v>259</v>
      </c>
      <c r="D501" s="7" t="s">
        <v>260</v>
      </c>
      <c r="E501" s="7" t="s">
        <v>261</v>
      </c>
      <c r="F501" s="7" t="s">
        <v>72</v>
      </c>
      <c r="G501" s="7" t="s">
        <v>81</v>
      </c>
      <c r="H501" s="7" t="s">
        <v>237</v>
      </c>
      <c r="I501" s="7" t="s">
        <v>75</v>
      </c>
      <c r="J501" s="7" t="n">
        <v>3</v>
      </c>
      <c r="K501" s="8" t="n">
        <v>4879</v>
      </c>
      <c r="L501" s="9" t="n">
        <v>0.15</v>
      </c>
      <c r="M501" s="8" t="n">
        <v>7301.19</v>
      </c>
      <c r="N501" s="8" t="n">
        <f aca="false">J501*K501*(1-L501)</f>
        <v>12441.45</v>
      </c>
      <c r="O501" s="8" t="n">
        <f aca="false">N501-M501</f>
        <v>5140.26</v>
      </c>
      <c r="P501" s="10" t="n">
        <f aca="false">IFERROR(O501/N501,0)</f>
        <v>0.413156022810846</v>
      </c>
      <c r="Q501" s="7" t="str">
        <f aca="false">TEXT(B501,"mmm")</f>
        <v>Oct</v>
      </c>
      <c r="R501" s="7" t="str">
        <f aca="false">TEXT(B501,"yyyy-mm")</f>
        <v>2024-10</v>
      </c>
    </row>
    <row r="502" customFormat="false" ht="15" hidden="false" customHeight="false" outlineLevel="0" collapsed="false">
      <c r="A502" s="7" t="s">
        <v>1091</v>
      </c>
      <c r="B502" s="7" t="s">
        <v>986</v>
      </c>
      <c r="C502" s="7" t="s">
        <v>596</v>
      </c>
      <c r="D502" s="7" t="s">
        <v>249</v>
      </c>
      <c r="E502" s="7" t="s">
        <v>250</v>
      </c>
      <c r="F502" s="7" t="s">
        <v>57</v>
      </c>
      <c r="G502" s="7" t="s">
        <v>73</v>
      </c>
      <c r="H502" s="7" t="s">
        <v>211</v>
      </c>
      <c r="I502" s="7" t="s">
        <v>51</v>
      </c>
      <c r="J502" s="7" t="n">
        <v>2</v>
      </c>
      <c r="K502" s="8" t="n">
        <v>1730</v>
      </c>
      <c r="L502" s="9" t="n">
        <v>0</v>
      </c>
      <c r="M502" s="8" t="n">
        <v>1764.88</v>
      </c>
      <c r="N502" s="8" t="n">
        <f aca="false">J502*K502*(1-L502)</f>
        <v>3460</v>
      </c>
      <c r="O502" s="8" t="n">
        <f aca="false">N502-M502</f>
        <v>1695.12</v>
      </c>
      <c r="P502" s="10" t="n">
        <f aca="false">IFERROR(O502/N502,0)</f>
        <v>0.489919075144509</v>
      </c>
      <c r="Q502" s="7" t="str">
        <f aca="false">TEXT(B502,"mmm")</f>
        <v>May</v>
      </c>
      <c r="R502" s="7" t="str">
        <f aca="false">TEXT(B502,"yyyy-mm")</f>
        <v>2024-05</v>
      </c>
    </row>
    <row r="503" customFormat="false" ht="15" hidden="false" customHeight="false" outlineLevel="0" collapsed="false">
      <c r="A503" s="7" t="s">
        <v>1092</v>
      </c>
      <c r="B503" s="7" t="s">
        <v>274</v>
      </c>
      <c r="C503" s="7" t="s">
        <v>310</v>
      </c>
      <c r="D503" s="7" t="s">
        <v>144</v>
      </c>
      <c r="E503" s="7" t="s">
        <v>145</v>
      </c>
      <c r="F503" s="7" t="s">
        <v>48</v>
      </c>
      <c r="G503" s="7" t="s">
        <v>81</v>
      </c>
      <c r="H503" s="7" t="s">
        <v>82</v>
      </c>
      <c r="I503" s="7" t="s">
        <v>51</v>
      </c>
      <c r="J503" s="7" t="n">
        <v>5</v>
      </c>
      <c r="K503" s="8" t="n">
        <v>5149</v>
      </c>
      <c r="L503" s="9" t="n">
        <v>0</v>
      </c>
      <c r="M503" s="8" t="n">
        <v>10862.4</v>
      </c>
      <c r="N503" s="8" t="n">
        <f aca="false">J503*K503*(1-L503)</f>
        <v>25745</v>
      </c>
      <c r="O503" s="8" t="n">
        <f aca="false">N503-M503</f>
        <v>14882.6</v>
      </c>
      <c r="P503" s="10" t="n">
        <f aca="false">IFERROR(O503/N503,0)</f>
        <v>0.578077296562439</v>
      </c>
      <c r="Q503" s="7" t="str">
        <f aca="false">TEXT(B503,"mmm")</f>
        <v>Dec</v>
      </c>
      <c r="R503" s="7" t="str">
        <f aca="false">TEXT(B503,"yyyy-mm")</f>
        <v>2024-12</v>
      </c>
    </row>
    <row r="504" customFormat="false" ht="15" hidden="false" customHeight="false" outlineLevel="0" collapsed="false">
      <c r="A504" s="7" t="s">
        <v>1093</v>
      </c>
      <c r="B504" s="7" t="s">
        <v>851</v>
      </c>
      <c r="C504" s="7" t="s">
        <v>502</v>
      </c>
      <c r="D504" s="7" t="s">
        <v>360</v>
      </c>
      <c r="E504" s="7" t="s">
        <v>361</v>
      </c>
      <c r="F504" s="7" t="s">
        <v>48</v>
      </c>
      <c r="G504" s="7" t="s">
        <v>81</v>
      </c>
      <c r="H504" s="7" t="s">
        <v>109</v>
      </c>
      <c r="I504" s="7" t="s">
        <v>51</v>
      </c>
      <c r="J504" s="7" t="n">
        <v>5</v>
      </c>
      <c r="K504" s="8" t="n">
        <v>679</v>
      </c>
      <c r="L504" s="9" t="n">
        <v>0</v>
      </c>
      <c r="M504" s="8" t="n">
        <v>2303.5</v>
      </c>
      <c r="N504" s="8" t="n">
        <f aca="false">J504*K504*(1-L504)</f>
        <v>3395</v>
      </c>
      <c r="O504" s="8" t="n">
        <f aca="false">N504-M504</f>
        <v>1091.5</v>
      </c>
      <c r="P504" s="10" t="n">
        <f aca="false">IFERROR(O504/N504,0)</f>
        <v>0.321502209131075</v>
      </c>
      <c r="Q504" s="7" t="str">
        <f aca="false">TEXT(B504,"mmm")</f>
        <v>Feb</v>
      </c>
      <c r="R504" s="7" t="str">
        <f aca="false">TEXT(B504,"yyyy-mm")</f>
        <v>2024-02</v>
      </c>
    </row>
    <row r="505" customFormat="false" ht="15" hidden="false" customHeight="false" outlineLevel="0" collapsed="false">
      <c r="A505" s="7" t="s">
        <v>1094</v>
      </c>
      <c r="B505" s="7" t="s">
        <v>616</v>
      </c>
      <c r="C505" s="7" t="s">
        <v>447</v>
      </c>
      <c r="D505" s="7" t="s">
        <v>423</v>
      </c>
      <c r="E505" s="7" t="s">
        <v>424</v>
      </c>
      <c r="F505" s="7" t="s">
        <v>48</v>
      </c>
      <c r="G505" s="7" t="s">
        <v>65</v>
      </c>
      <c r="H505" s="7" t="s">
        <v>106</v>
      </c>
      <c r="I505" s="7" t="s">
        <v>51</v>
      </c>
      <c r="J505" s="7" t="n">
        <v>10</v>
      </c>
      <c r="K505" s="8" t="n">
        <v>5039</v>
      </c>
      <c r="L505" s="9" t="n">
        <v>0.1</v>
      </c>
      <c r="M505" s="8" t="n">
        <v>19463.6</v>
      </c>
      <c r="N505" s="8" t="n">
        <f aca="false">J505*K505*(1-L505)</f>
        <v>45351</v>
      </c>
      <c r="O505" s="8" t="n">
        <f aca="false">N505-M505</f>
        <v>25887.4</v>
      </c>
      <c r="P505" s="10" t="n">
        <f aca="false">IFERROR(O505/N505,0)</f>
        <v>0.570823135101762</v>
      </c>
      <c r="Q505" s="7" t="str">
        <f aca="false">TEXT(B505,"mmm")</f>
        <v>Aug</v>
      </c>
      <c r="R505" s="7" t="str">
        <f aca="false">TEXT(B505,"yyyy-mm")</f>
        <v>2024-08</v>
      </c>
    </row>
    <row r="506" customFormat="false" ht="15" hidden="false" customHeight="false" outlineLevel="0" collapsed="false">
      <c r="A506" s="7" t="s">
        <v>1095</v>
      </c>
      <c r="B506" s="7" t="s">
        <v>574</v>
      </c>
      <c r="C506" s="7" t="s">
        <v>383</v>
      </c>
      <c r="D506" s="7" t="s">
        <v>260</v>
      </c>
      <c r="E506" s="7" t="s">
        <v>261</v>
      </c>
      <c r="F506" s="7" t="s">
        <v>72</v>
      </c>
      <c r="G506" s="7" t="s">
        <v>73</v>
      </c>
      <c r="H506" s="7" t="s">
        <v>115</v>
      </c>
      <c r="I506" s="7" t="s">
        <v>51</v>
      </c>
      <c r="J506" s="7" t="n">
        <v>7</v>
      </c>
      <c r="K506" s="8" t="n">
        <v>4879</v>
      </c>
      <c r="L506" s="9" t="n">
        <v>0.25</v>
      </c>
      <c r="M506" s="8" t="n">
        <v>17036.11</v>
      </c>
      <c r="N506" s="8" t="n">
        <f aca="false">J506*K506*(1-L506)</f>
        <v>25614.75</v>
      </c>
      <c r="O506" s="8" t="n">
        <f aca="false">N506-M506</f>
        <v>8578.64</v>
      </c>
      <c r="P506" s="10" t="n">
        <f aca="false">IFERROR(O506/N506,0)</f>
        <v>0.334910159185625</v>
      </c>
      <c r="Q506" s="7" t="str">
        <f aca="false">TEXT(B506,"mmm")</f>
        <v>May</v>
      </c>
      <c r="R506" s="7" t="str">
        <f aca="false">TEXT(B506,"yyyy-mm")</f>
        <v>2024-05</v>
      </c>
    </row>
    <row r="507" customFormat="false" ht="15" hidden="false" customHeight="false" outlineLevel="0" collapsed="false">
      <c r="A507" s="7" t="s">
        <v>1096</v>
      </c>
      <c r="B507" s="7" t="s">
        <v>1097</v>
      </c>
      <c r="C507" s="7" t="s">
        <v>1098</v>
      </c>
      <c r="D507" s="7" t="s">
        <v>464</v>
      </c>
      <c r="E507" s="7" t="s">
        <v>465</v>
      </c>
      <c r="F507" s="7" t="s">
        <v>48</v>
      </c>
      <c r="G507" s="7" t="s">
        <v>73</v>
      </c>
      <c r="H507" s="7" t="s">
        <v>266</v>
      </c>
      <c r="I507" s="7" t="s">
        <v>51</v>
      </c>
      <c r="J507" s="7" t="n">
        <v>4</v>
      </c>
      <c r="K507" s="8" t="n">
        <v>799</v>
      </c>
      <c r="L507" s="9" t="n">
        <v>0.25</v>
      </c>
      <c r="M507" s="8" t="n">
        <v>1655.92</v>
      </c>
      <c r="N507" s="8" t="n">
        <f aca="false">J507*K507*(1-L507)</f>
        <v>2397</v>
      </c>
      <c r="O507" s="8" t="n">
        <f aca="false">N507-M507</f>
        <v>741.08</v>
      </c>
      <c r="P507" s="10" t="n">
        <f aca="false">IFERROR(O507/N507,0)</f>
        <v>0.309169795577806</v>
      </c>
      <c r="Q507" s="7" t="str">
        <f aca="false">TEXT(B507,"mmm")</f>
        <v>Jul</v>
      </c>
      <c r="R507" s="7" t="str">
        <f aca="false">TEXT(B507,"yyyy-mm")</f>
        <v>2024-07</v>
      </c>
    </row>
    <row r="508" customFormat="false" ht="15" hidden="false" customHeight="false" outlineLevel="0" collapsed="false">
      <c r="A508" s="7" t="s">
        <v>1099</v>
      </c>
      <c r="B508" s="7" t="s">
        <v>678</v>
      </c>
      <c r="C508" s="7" t="s">
        <v>307</v>
      </c>
      <c r="D508" s="7" t="s">
        <v>314</v>
      </c>
      <c r="E508" s="7" t="s">
        <v>315</v>
      </c>
      <c r="F508" s="7" t="s">
        <v>64</v>
      </c>
      <c r="G508" s="7" t="s">
        <v>81</v>
      </c>
      <c r="H508" s="7" t="s">
        <v>109</v>
      </c>
      <c r="I508" s="7" t="s">
        <v>51</v>
      </c>
      <c r="J508" s="7" t="n">
        <v>4</v>
      </c>
      <c r="K508" s="8" t="n">
        <v>4059</v>
      </c>
      <c r="L508" s="9" t="n">
        <v>0</v>
      </c>
      <c r="M508" s="8" t="n">
        <v>9118.16</v>
      </c>
      <c r="N508" s="8" t="n">
        <f aca="false">J508*K508*(1-L508)</f>
        <v>16236</v>
      </c>
      <c r="O508" s="8" t="n">
        <f aca="false">N508-M508</f>
        <v>7117.84</v>
      </c>
      <c r="P508" s="10" t="n">
        <f aca="false">IFERROR(O508/N508,0)</f>
        <v>0.43839862034984</v>
      </c>
      <c r="Q508" s="7" t="str">
        <f aca="false">TEXT(B508,"mmm")</f>
        <v>Aug</v>
      </c>
      <c r="R508" s="7" t="str">
        <f aca="false">TEXT(B508,"yyyy-mm")</f>
        <v>2024-08</v>
      </c>
    </row>
    <row r="509" customFormat="false" ht="15" hidden="false" customHeight="false" outlineLevel="0" collapsed="false">
      <c r="A509" s="7" t="s">
        <v>1100</v>
      </c>
      <c r="B509" s="7" t="s">
        <v>1101</v>
      </c>
      <c r="C509" s="7" t="s">
        <v>1048</v>
      </c>
      <c r="D509" s="7" t="s">
        <v>55</v>
      </c>
      <c r="E509" s="7" t="s">
        <v>56</v>
      </c>
      <c r="F509" s="7" t="s">
        <v>57</v>
      </c>
      <c r="G509" s="7" t="s">
        <v>65</v>
      </c>
      <c r="H509" s="7" t="s">
        <v>126</v>
      </c>
      <c r="I509" s="7" t="s">
        <v>51</v>
      </c>
      <c r="J509" s="7" t="n">
        <v>1</v>
      </c>
      <c r="K509" s="8" t="n">
        <v>2850</v>
      </c>
      <c r="L509" s="9" t="n">
        <v>0.05</v>
      </c>
      <c r="M509" s="8" t="n">
        <v>2128.15</v>
      </c>
      <c r="N509" s="8" t="n">
        <f aca="false">J509*K509*(1-L509)</f>
        <v>2707.5</v>
      </c>
      <c r="O509" s="8" t="n">
        <f aca="false">N509-M509</f>
        <v>579.35</v>
      </c>
      <c r="P509" s="10" t="n">
        <f aca="false">IFERROR(O509/N509,0)</f>
        <v>0.213979686057248</v>
      </c>
      <c r="Q509" s="7" t="str">
        <f aca="false">TEXT(B509,"mmm")</f>
        <v>Jun</v>
      </c>
      <c r="R509" s="7" t="str">
        <f aca="false">TEXT(B509,"yyyy-mm")</f>
        <v>2024-06</v>
      </c>
    </row>
    <row r="510" customFormat="false" ht="15" hidden="false" customHeight="false" outlineLevel="0" collapsed="false">
      <c r="A510" s="7" t="s">
        <v>1102</v>
      </c>
      <c r="B510" s="7" t="s">
        <v>1103</v>
      </c>
      <c r="C510" s="7" t="s">
        <v>440</v>
      </c>
      <c r="D510" s="7" t="s">
        <v>154</v>
      </c>
      <c r="E510" s="7" t="s">
        <v>155</v>
      </c>
      <c r="F510" s="7" t="s">
        <v>57</v>
      </c>
      <c r="G510" s="7" t="s">
        <v>49</v>
      </c>
      <c r="H510" s="7" t="s">
        <v>172</v>
      </c>
      <c r="I510" s="7" t="s">
        <v>75</v>
      </c>
      <c r="J510" s="7" t="n">
        <v>1</v>
      </c>
      <c r="K510" s="8" t="n">
        <v>2949</v>
      </c>
      <c r="L510" s="9" t="n">
        <v>0</v>
      </c>
      <c r="M510" s="8" t="n">
        <v>1555.39</v>
      </c>
      <c r="N510" s="8" t="n">
        <f aca="false">J510*K510*(1-L510)</f>
        <v>2949</v>
      </c>
      <c r="O510" s="8" t="n">
        <f aca="false">N510-M510</f>
        <v>1393.61</v>
      </c>
      <c r="P510" s="10" t="n">
        <f aca="false">IFERROR(O510/N510,0)</f>
        <v>0.472570362834859</v>
      </c>
      <c r="Q510" s="7" t="str">
        <f aca="false">TEXT(B510,"mmm")</f>
        <v>Dec</v>
      </c>
      <c r="R510" s="7" t="str">
        <f aca="false">TEXT(B510,"yyyy-mm")</f>
        <v>2024-12</v>
      </c>
    </row>
    <row r="511" customFormat="false" ht="15" hidden="false" customHeight="false" outlineLevel="0" collapsed="false">
      <c r="A511" s="7" t="s">
        <v>1104</v>
      </c>
      <c r="B511" s="7" t="s">
        <v>1105</v>
      </c>
      <c r="C511" s="7" t="s">
        <v>1106</v>
      </c>
      <c r="D511" s="7" t="s">
        <v>130</v>
      </c>
      <c r="E511" s="7" t="s">
        <v>131</v>
      </c>
      <c r="F511" s="7" t="s">
        <v>72</v>
      </c>
      <c r="G511" s="7" t="s">
        <v>49</v>
      </c>
      <c r="H511" s="7" t="s">
        <v>50</v>
      </c>
      <c r="I511" s="7" t="s">
        <v>75</v>
      </c>
      <c r="J511" s="7" t="n">
        <v>4</v>
      </c>
      <c r="K511" s="8" t="n">
        <v>7899</v>
      </c>
      <c r="L511" s="9" t="n">
        <v>0.2</v>
      </c>
      <c r="M511" s="8" t="n">
        <v>13623.32</v>
      </c>
      <c r="N511" s="8" t="n">
        <f aca="false">J511*K511*(1-L511)</f>
        <v>25276.8</v>
      </c>
      <c r="O511" s="8" t="n">
        <f aca="false">N511-M511</f>
        <v>11653.48</v>
      </c>
      <c r="P511" s="10" t="n">
        <f aca="false">IFERROR(O511/N511,0)</f>
        <v>0.46103462463603</v>
      </c>
      <c r="Q511" s="7" t="str">
        <f aca="false">TEXT(B511,"mmm")</f>
        <v>Mar</v>
      </c>
      <c r="R511" s="7" t="str">
        <f aca="false">TEXT(B511,"yyyy-mm")</f>
        <v>2024-03</v>
      </c>
    </row>
    <row r="512" customFormat="false" ht="15" hidden="false" customHeight="false" outlineLevel="0" collapsed="false">
      <c r="A512" s="7" t="s">
        <v>1107</v>
      </c>
      <c r="B512" s="7" t="s">
        <v>222</v>
      </c>
      <c r="C512" s="7" t="s">
        <v>518</v>
      </c>
      <c r="D512" s="7" t="s">
        <v>459</v>
      </c>
      <c r="E512" s="7" t="s">
        <v>460</v>
      </c>
      <c r="F512" s="7" t="s">
        <v>64</v>
      </c>
      <c r="G512" s="7" t="s">
        <v>49</v>
      </c>
      <c r="H512" s="7" t="s">
        <v>50</v>
      </c>
      <c r="I512" s="7" t="s">
        <v>51</v>
      </c>
      <c r="J512" s="7" t="n">
        <v>2</v>
      </c>
      <c r="K512" s="8" t="n">
        <v>1520</v>
      </c>
      <c r="L512" s="9" t="n">
        <v>0.1</v>
      </c>
      <c r="M512" s="8" t="n">
        <v>1771.42</v>
      </c>
      <c r="N512" s="8" t="n">
        <f aca="false">J512*K512*(1-L512)</f>
        <v>2736</v>
      </c>
      <c r="O512" s="8" t="n">
        <f aca="false">N512-M512</f>
        <v>964.58</v>
      </c>
      <c r="P512" s="10" t="n">
        <f aca="false">IFERROR(O512/N512,0)</f>
        <v>0.352551169590643</v>
      </c>
      <c r="Q512" s="7" t="str">
        <f aca="false">TEXT(B512,"mmm")</f>
        <v>Jul</v>
      </c>
      <c r="R512" s="7" t="str">
        <f aca="false">TEXT(B512,"yyyy-mm")</f>
        <v>2024-07</v>
      </c>
    </row>
    <row r="513" customFormat="false" ht="15" hidden="false" customHeight="false" outlineLevel="0" collapsed="false">
      <c r="A513" s="7" t="s">
        <v>1108</v>
      </c>
      <c r="B513" s="7" t="s">
        <v>352</v>
      </c>
      <c r="C513" s="7" t="s">
        <v>166</v>
      </c>
      <c r="D513" s="7" t="s">
        <v>227</v>
      </c>
      <c r="E513" s="7" t="s">
        <v>228</v>
      </c>
      <c r="F513" s="7" t="s">
        <v>64</v>
      </c>
      <c r="G513" s="7" t="s">
        <v>73</v>
      </c>
      <c r="H513" s="7" t="s">
        <v>74</v>
      </c>
      <c r="I513" s="7" t="s">
        <v>51</v>
      </c>
      <c r="J513" s="7" t="n">
        <v>5</v>
      </c>
      <c r="K513" s="8" t="n">
        <v>5529</v>
      </c>
      <c r="L513" s="9" t="n">
        <v>0.25</v>
      </c>
      <c r="M513" s="8" t="n">
        <v>15263.6</v>
      </c>
      <c r="N513" s="8" t="n">
        <f aca="false">J513*K513*(1-L513)</f>
        <v>20733.75</v>
      </c>
      <c r="O513" s="8" t="n">
        <f aca="false">N513-M513</f>
        <v>5470.15</v>
      </c>
      <c r="P513" s="10" t="n">
        <f aca="false">IFERROR(O513/N513,0)</f>
        <v>0.263828299270513</v>
      </c>
      <c r="Q513" s="7" t="str">
        <f aca="false">TEXT(B513,"mmm")</f>
        <v>Jan</v>
      </c>
      <c r="R513" s="7" t="str">
        <f aca="false">TEXT(B513,"yyyy-mm")</f>
        <v>2024-01</v>
      </c>
    </row>
    <row r="514" customFormat="false" ht="15" hidden="false" customHeight="false" outlineLevel="0" collapsed="false">
      <c r="A514" s="7" t="s">
        <v>1109</v>
      </c>
      <c r="B514" s="7" t="s">
        <v>501</v>
      </c>
      <c r="C514" s="7" t="s">
        <v>1110</v>
      </c>
      <c r="D514" s="7" t="s">
        <v>124</v>
      </c>
      <c r="E514" s="7" t="s">
        <v>125</v>
      </c>
      <c r="F514" s="7" t="s">
        <v>64</v>
      </c>
      <c r="G514" s="7" t="s">
        <v>73</v>
      </c>
      <c r="H514" s="7" t="s">
        <v>266</v>
      </c>
      <c r="I514" s="7" t="s">
        <v>51</v>
      </c>
      <c r="J514" s="7" t="n">
        <v>5</v>
      </c>
      <c r="K514" s="8" t="n">
        <v>1349</v>
      </c>
      <c r="L514" s="9" t="n">
        <v>0</v>
      </c>
      <c r="M514" s="8" t="n">
        <v>3487</v>
      </c>
      <c r="N514" s="8" t="n">
        <f aca="false">J514*K514*(1-L514)</f>
        <v>6745</v>
      </c>
      <c r="O514" s="8" t="n">
        <f aca="false">N514-M514</f>
        <v>3258</v>
      </c>
      <c r="P514" s="10" t="n">
        <f aca="false">IFERROR(O514/N514,0)</f>
        <v>0.483024462564863</v>
      </c>
      <c r="Q514" s="7" t="str">
        <f aca="false">TEXT(B514,"mmm")</f>
        <v>Jun</v>
      </c>
      <c r="R514" s="7" t="str">
        <f aca="false">TEXT(B514,"yyyy-mm")</f>
        <v>2024-06</v>
      </c>
    </row>
    <row r="515" customFormat="false" ht="15" hidden="false" customHeight="false" outlineLevel="0" collapsed="false">
      <c r="A515" s="7" t="s">
        <v>1111</v>
      </c>
      <c r="B515" s="7" t="s">
        <v>225</v>
      </c>
      <c r="C515" s="7" t="s">
        <v>269</v>
      </c>
      <c r="D515" s="7" t="s">
        <v>149</v>
      </c>
      <c r="E515" s="7" t="s">
        <v>150</v>
      </c>
      <c r="F515" s="7" t="s">
        <v>88</v>
      </c>
      <c r="G515" s="7" t="s">
        <v>73</v>
      </c>
      <c r="H515" s="7" t="s">
        <v>115</v>
      </c>
      <c r="I515" s="7" t="s">
        <v>51</v>
      </c>
      <c r="J515" s="7" t="n">
        <v>4</v>
      </c>
      <c r="K515" s="8" t="n">
        <v>5219</v>
      </c>
      <c r="L515" s="9" t="n">
        <v>0</v>
      </c>
      <c r="M515" s="8" t="n">
        <v>13964.16</v>
      </c>
      <c r="N515" s="8" t="n">
        <f aca="false">J515*K515*(1-L515)</f>
        <v>20876</v>
      </c>
      <c r="O515" s="8" t="n">
        <f aca="false">N515-M515</f>
        <v>6911.84</v>
      </c>
      <c r="P515" s="10" t="n">
        <f aca="false">IFERROR(O515/N515,0)</f>
        <v>0.331090247173788</v>
      </c>
      <c r="Q515" s="7" t="str">
        <f aca="false">TEXT(B515,"mmm")</f>
        <v>May</v>
      </c>
      <c r="R515" s="7" t="str">
        <f aca="false">TEXT(B515,"yyyy-mm")</f>
        <v>2024-05</v>
      </c>
    </row>
    <row r="516" customFormat="false" ht="15" hidden="false" customHeight="false" outlineLevel="0" collapsed="false">
      <c r="A516" s="7" t="s">
        <v>1112</v>
      </c>
      <c r="B516" s="7" t="s">
        <v>1113</v>
      </c>
      <c r="C516" s="7" t="s">
        <v>901</v>
      </c>
      <c r="D516" s="7" t="s">
        <v>46</v>
      </c>
      <c r="E516" s="7" t="s">
        <v>47</v>
      </c>
      <c r="F516" s="7" t="s">
        <v>48</v>
      </c>
      <c r="G516" s="7" t="s">
        <v>49</v>
      </c>
      <c r="H516" s="7" t="s">
        <v>172</v>
      </c>
      <c r="I516" s="7" t="s">
        <v>75</v>
      </c>
      <c r="J516" s="7" t="n">
        <v>6</v>
      </c>
      <c r="K516" s="8" t="n">
        <v>4349</v>
      </c>
      <c r="L516" s="9" t="n">
        <v>0</v>
      </c>
      <c r="M516" s="8" t="n">
        <v>14932.62</v>
      </c>
      <c r="N516" s="8" t="n">
        <f aca="false">J516*K516*(1-L516)</f>
        <v>26094</v>
      </c>
      <c r="O516" s="8" t="n">
        <f aca="false">N516-M516</f>
        <v>11161.38</v>
      </c>
      <c r="P516" s="10" t="n">
        <f aca="false">IFERROR(O516/N516,0)</f>
        <v>0.427737410899057</v>
      </c>
      <c r="Q516" s="7" t="str">
        <f aca="false">TEXT(B516,"mmm")</f>
        <v>May</v>
      </c>
      <c r="R516" s="7" t="str">
        <f aca="false">TEXT(B516,"yyyy-mm")</f>
        <v>2024-05</v>
      </c>
    </row>
    <row r="517" customFormat="false" ht="15" hidden="false" customHeight="false" outlineLevel="0" collapsed="false">
      <c r="A517" s="7" t="s">
        <v>1114</v>
      </c>
      <c r="B517" s="7" t="s">
        <v>1014</v>
      </c>
      <c r="C517" s="7" t="s">
        <v>302</v>
      </c>
      <c r="D517" s="7" t="s">
        <v>343</v>
      </c>
      <c r="E517" s="7" t="s">
        <v>344</v>
      </c>
      <c r="F517" s="7" t="s">
        <v>88</v>
      </c>
      <c r="G517" s="7" t="s">
        <v>73</v>
      </c>
      <c r="H517" s="7" t="s">
        <v>211</v>
      </c>
      <c r="I517" s="7" t="s">
        <v>51</v>
      </c>
      <c r="J517" s="7" t="n">
        <v>3</v>
      </c>
      <c r="K517" s="8" t="n">
        <v>2169</v>
      </c>
      <c r="L517" s="9" t="n">
        <v>0.1</v>
      </c>
      <c r="M517" s="8" t="n">
        <v>4481.7</v>
      </c>
      <c r="N517" s="8" t="n">
        <f aca="false">J517*K517*(1-L517)</f>
        <v>5856.3</v>
      </c>
      <c r="O517" s="8" t="n">
        <f aca="false">N517-M517</f>
        <v>1374.6</v>
      </c>
      <c r="P517" s="10" t="n">
        <f aca="false">IFERROR(O517/N517,0)</f>
        <v>0.234721581886174</v>
      </c>
      <c r="Q517" s="7" t="str">
        <f aca="false">TEXT(B517,"mmm")</f>
        <v>Apr</v>
      </c>
      <c r="R517" s="7" t="str">
        <f aca="false">TEXT(B517,"yyyy-mm")</f>
        <v>2024-04</v>
      </c>
    </row>
    <row r="518" customFormat="false" ht="15" hidden="false" customHeight="false" outlineLevel="0" collapsed="false">
      <c r="A518" s="7" t="s">
        <v>1115</v>
      </c>
      <c r="B518" s="7" t="s">
        <v>1097</v>
      </c>
      <c r="C518" s="7" t="s">
        <v>161</v>
      </c>
      <c r="D518" s="7" t="s">
        <v>343</v>
      </c>
      <c r="E518" s="7" t="s">
        <v>344</v>
      </c>
      <c r="F518" s="7" t="s">
        <v>88</v>
      </c>
      <c r="G518" s="7" t="s">
        <v>65</v>
      </c>
      <c r="H518" s="7" t="s">
        <v>106</v>
      </c>
      <c r="I518" s="7" t="s">
        <v>75</v>
      </c>
      <c r="J518" s="7" t="n">
        <v>2</v>
      </c>
      <c r="K518" s="8" t="n">
        <v>2169</v>
      </c>
      <c r="L518" s="9" t="n">
        <v>0</v>
      </c>
      <c r="M518" s="8" t="n">
        <v>2987.8</v>
      </c>
      <c r="N518" s="8" t="n">
        <f aca="false">J518*K518*(1-L518)</f>
        <v>4338</v>
      </c>
      <c r="O518" s="8" t="n">
        <f aca="false">N518-M518</f>
        <v>1350.2</v>
      </c>
      <c r="P518" s="10" t="n">
        <f aca="false">IFERROR(O518/N518,0)</f>
        <v>0.311249423697556</v>
      </c>
      <c r="Q518" s="7" t="str">
        <f aca="false">TEXT(B518,"mmm")</f>
        <v>Jul</v>
      </c>
      <c r="R518" s="7" t="str">
        <f aca="false">TEXT(B518,"yyyy-mm")</f>
        <v>2024-07</v>
      </c>
    </row>
    <row r="519" customFormat="false" ht="15" hidden="false" customHeight="false" outlineLevel="0" collapsed="false">
      <c r="A519" s="7" t="s">
        <v>1116</v>
      </c>
      <c r="B519" s="7" t="s">
        <v>377</v>
      </c>
      <c r="C519" s="7" t="s">
        <v>518</v>
      </c>
      <c r="D519" s="7" t="s">
        <v>46</v>
      </c>
      <c r="E519" s="7" t="s">
        <v>47</v>
      </c>
      <c r="F519" s="7" t="s">
        <v>48</v>
      </c>
      <c r="G519" s="7" t="s">
        <v>73</v>
      </c>
      <c r="H519" s="7" t="s">
        <v>266</v>
      </c>
      <c r="I519" s="7" t="s">
        <v>75</v>
      </c>
      <c r="J519" s="7" t="n">
        <v>5</v>
      </c>
      <c r="K519" s="8" t="n">
        <v>4349</v>
      </c>
      <c r="L519" s="9" t="n">
        <v>0</v>
      </c>
      <c r="M519" s="8" t="n">
        <v>12443.85</v>
      </c>
      <c r="N519" s="8" t="n">
        <f aca="false">J519*K519*(1-L519)</f>
        <v>21745</v>
      </c>
      <c r="O519" s="8" t="n">
        <f aca="false">N519-M519</f>
        <v>9301.15</v>
      </c>
      <c r="P519" s="10" t="n">
        <f aca="false">IFERROR(O519/N519,0)</f>
        <v>0.427737410899057</v>
      </c>
      <c r="Q519" s="7" t="str">
        <f aca="false">TEXT(B519,"mmm")</f>
        <v>Nov</v>
      </c>
      <c r="R519" s="7" t="str">
        <f aca="false">TEXT(B519,"yyyy-mm")</f>
        <v>2024-11</v>
      </c>
    </row>
    <row r="520" customFormat="false" ht="15" hidden="false" customHeight="false" outlineLevel="0" collapsed="false">
      <c r="A520" s="7" t="s">
        <v>1117</v>
      </c>
      <c r="B520" s="7" t="s">
        <v>77</v>
      </c>
      <c r="C520" s="7" t="s">
        <v>243</v>
      </c>
      <c r="D520" s="7" t="s">
        <v>343</v>
      </c>
      <c r="E520" s="7" t="s">
        <v>344</v>
      </c>
      <c r="F520" s="7" t="s">
        <v>88</v>
      </c>
      <c r="G520" s="7" t="s">
        <v>49</v>
      </c>
      <c r="H520" s="7" t="s">
        <v>172</v>
      </c>
      <c r="I520" s="7" t="s">
        <v>51</v>
      </c>
      <c r="J520" s="7" t="n">
        <v>8</v>
      </c>
      <c r="K520" s="8" t="n">
        <v>2169</v>
      </c>
      <c r="L520" s="9" t="n">
        <v>0.05</v>
      </c>
      <c r="M520" s="8" t="n">
        <v>11951.2</v>
      </c>
      <c r="N520" s="8" t="n">
        <f aca="false">J520*K520*(1-L520)</f>
        <v>16484.4</v>
      </c>
      <c r="O520" s="8" t="n">
        <f aca="false">N520-M520</f>
        <v>4533.2</v>
      </c>
      <c r="P520" s="10" t="n">
        <f aca="false">IFERROR(O520/N520,0)</f>
        <v>0.274999393365849</v>
      </c>
      <c r="Q520" s="7" t="str">
        <f aca="false">TEXT(B520,"mmm")</f>
        <v>Nov</v>
      </c>
      <c r="R520" s="7" t="str">
        <f aca="false">TEXT(B520,"yyyy-mm")</f>
        <v>2024-11</v>
      </c>
    </row>
    <row r="521" customFormat="false" ht="15" hidden="false" customHeight="false" outlineLevel="0" collapsed="false">
      <c r="A521" s="7" t="s">
        <v>1118</v>
      </c>
      <c r="B521" s="7" t="s">
        <v>446</v>
      </c>
      <c r="C521" s="7" t="s">
        <v>214</v>
      </c>
      <c r="D521" s="7" t="s">
        <v>441</v>
      </c>
      <c r="E521" s="7" t="s">
        <v>442</v>
      </c>
      <c r="F521" s="7" t="s">
        <v>64</v>
      </c>
      <c r="G521" s="7" t="s">
        <v>65</v>
      </c>
      <c r="H521" s="7" t="s">
        <v>106</v>
      </c>
      <c r="I521" s="7" t="s">
        <v>51</v>
      </c>
      <c r="J521" s="7" t="n">
        <v>3</v>
      </c>
      <c r="K521" s="8" t="n">
        <v>3349</v>
      </c>
      <c r="L521" s="9" t="n">
        <v>0.15</v>
      </c>
      <c r="M521" s="8" t="n">
        <v>6571.77</v>
      </c>
      <c r="N521" s="8" t="n">
        <f aca="false">J521*K521*(1-L521)</f>
        <v>8539.95</v>
      </c>
      <c r="O521" s="8" t="n">
        <f aca="false">N521-M521</f>
        <v>1968.18</v>
      </c>
      <c r="P521" s="10" t="n">
        <f aca="false">IFERROR(O521/N521,0)</f>
        <v>0.230467391495266</v>
      </c>
      <c r="Q521" s="7" t="str">
        <f aca="false">TEXT(B521,"mmm")</f>
        <v>Jan</v>
      </c>
      <c r="R521" s="7" t="str">
        <f aca="false">TEXT(B521,"yyyy-mm")</f>
        <v>2024-01</v>
      </c>
    </row>
    <row r="522" customFormat="false" ht="15" hidden="false" customHeight="false" outlineLevel="0" collapsed="false">
      <c r="A522" s="7" t="s">
        <v>1119</v>
      </c>
      <c r="B522" s="7" t="s">
        <v>1012</v>
      </c>
      <c r="C522" s="7" t="s">
        <v>734</v>
      </c>
      <c r="D522" s="7" t="s">
        <v>130</v>
      </c>
      <c r="E522" s="7" t="s">
        <v>131</v>
      </c>
      <c r="F522" s="7" t="s">
        <v>72</v>
      </c>
      <c r="G522" s="7" t="s">
        <v>65</v>
      </c>
      <c r="H522" s="7" t="s">
        <v>66</v>
      </c>
      <c r="I522" s="7" t="s">
        <v>51</v>
      </c>
      <c r="J522" s="7" t="n">
        <v>8</v>
      </c>
      <c r="K522" s="8" t="n">
        <v>7899</v>
      </c>
      <c r="L522" s="9" t="n">
        <v>0.25</v>
      </c>
      <c r="M522" s="8" t="n">
        <v>27246.64</v>
      </c>
      <c r="N522" s="8" t="n">
        <f aca="false">J522*K522*(1-L522)</f>
        <v>47394</v>
      </c>
      <c r="O522" s="8" t="n">
        <f aca="false">N522-M522</f>
        <v>20147.36</v>
      </c>
      <c r="P522" s="10" t="n">
        <f aca="false">IFERROR(O522/N522,0)</f>
        <v>0.425103599611765</v>
      </c>
      <c r="Q522" s="7" t="str">
        <f aca="false">TEXT(B522,"mmm")</f>
        <v>Oct</v>
      </c>
      <c r="R522" s="7" t="str">
        <f aca="false">TEXT(B522,"yyyy-mm")</f>
        <v>2024-10</v>
      </c>
    </row>
    <row r="523" customFormat="false" ht="15" hidden="false" customHeight="false" outlineLevel="0" collapsed="false">
      <c r="A523" s="7" t="s">
        <v>1120</v>
      </c>
      <c r="B523" s="7" t="s">
        <v>1121</v>
      </c>
      <c r="C523" s="7" t="s">
        <v>610</v>
      </c>
      <c r="D523" s="7" t="s">
        <v>135</v>
      </c>
      <c r="E523" s="7" t="s">
        <v>136</v>
      </c>
      <c r="F523" s="7" t="s">
        <v>72</v>
      </c>
      <c r="G523" s="7" t="s">
        <v>49</v>
      </c>
      <c r="H523" s="7" t="s">
        <v>58</v>
      </c>
      <c r="I523" s="7" t="s">
        <v>51</v>
      </c>
      <c r="J523" s="7" t="n">
        <v>6</v>
      </c>
      <c r="K523" s="8" t="n">
        <v>7029</v>
      </c>
      <c r="L523" s="9" t="n">
        <v>0</v>
      </c>
      <c r="M523" s="8" t="n">
        <v>20922.06</v>
      </c>
      <c r="N523" s="8" t="n">
        <f aca="false">J523*K523*(1-L523)</f>
        <v>42174</v>
      </c>
      <c r="O523" s="8" t="n">
        <f aca="false">N523-M523</f>
        <v>21251.94</v>
      </c>
      <c r="P523" s="10" t="n">
        <f aca="false">IFERROR(O523/N523,0)</f>
        <v>0.503910940389814</v>
      </c>
      <c r="Q523" s="7" t="str">
        <f aca="false">TEXT(B523,"mmm")</f>
        <v>Aug</v>
      </c>
      <c r="R523" s="7" t="str">
        <f aca="false">TEXT(B523,"yyyy-mm")</f>
        <v>2024-08</v>
      </c>
    </row>
    <row r="524" customFormat="false" ht="15" hidden="false" customHeight="false" outlineLevel="0" collapsed="false">
      <c r="A524" s="7" t="s">
        <v>1122</v>
      </c>
      <c r="B524" s="7" t="s">
        <v>1123</v>
      </c>
      <c r="C524" s="7" t="s">
        <v>158</v>
      </c>
      <c r="D524" s="7" t="s">
        <v>215</v>
      </c>
      <c r="E524" s="7" t="s">
        <v>216</v>
      </c>
      <c r="F524" s="7" t="s">
        <v>57</v>
      </c>
      <c r="G524" s="7" t="s">
        <v>49</v>
      </c>
      <c r="H524" s="7" t="s">
        <v>172</v>
      </c>
      <c r="I524" s="7" t="s">
        <v>51</v>
      </c>
      <c r="J524" s="7" t="n">
        <v>9</v>
      </c>
      <c r="K524" s="8" t="n">
        <v>3749</v>
      </c>
      <c r="L524" s="9" t="n">
        <v>0.25</v>
      </c>
      <c r="M524" s="8" t="n">
        <v>25754.31</v>
      </c>
      <c r="N524" s="8" t="n">
        <f aca="false">J524*K524*(1-L524)</f>
        <v>25305.75</v>
      </c>
      <c r="O524" s="8" t="n">
        <f aca="false">N524-M524</f>
        <v>-448.560000000001</v>
      </c>
      <c r="P524" s="10" t="n">
        <f aca="false">IFERROR(O524/N524,0)</f>
        <v>-0.0177256157197475</v>
      </c>
      <c r="Q524" s="7" t="str">
        <f aca="false">TEXT(B524,"mmm")</f>
        <v>Nov</v>
      </c>
      <c r="R524" s="7" t="str">
        <f aca="false">TEXT(B524,"yyyy-mm")</f>
        <v>2024-11</v>
      </c>
    </row>
    <row r="525" customFormat="false" ht="15" hidden="false" customHeight="false" outlineLevel="0" collapsed="false">
      <c r="A525" s="7" t="s">
        <v>1124</v>
      </c>
      <c r="B525" s="7" t="s">
        <v>418</v>
      </c>
      <c r="C525" s="7" t="s">
        <v>210</v>
      </c>
      <c r="D525" s="7" t="s">
        <v>260</v>
      </c>
      <c r="E525" s="7" t="s">
        <v>261</v>
      </c>
      <c r="F525" s="7" t="s">
        <v>72</v>
      </c>
      <c r="G525" s="7" t="s">
        <v>49</v>
      </c>
      <c r="H525" s="7" t="s">
        <v>58</v>
      </c>
      <c r="I525" s="7" t="s">
        <v>51</v>
      </c>
      <c r="J525" s="7" t="n">
        <v>1</v>
      </c>
      <c r="K525" s="8" t="n">
        <v>4879</v>
      </c>
      <c r="L525" s="9" t="n">
        <v>0</v>
      </c>
      <c r="M525" s="8" t="n">
        <v>2433.73</v>
      </c>
      <c r="N525" s="8" t="n">
        <f aca="false">J525*K525*(1-L525)</f>
        <v>4879</v>
      </c>
      <c r="O525" s="8" t="n">
        <f aca="false">N525-M525</f>
        <v>2445.27</v>
      </c>
      <c r="P525" s="10" t="n">
        <f aca="false">IFERROR(O525/N525,0)</f>
        <v>0.501182619389219</v>
      </c>
      <c r="Q525" s="7" t="str">
        <f aca="false">TEXT(B525,"mmm")</f>
        <v>Jul</v>
      </c>
      <c r="R525" s="7" t="str">
        <f aca="false">TEXT(B525,"yyyy-mm")</f>
        <v>2024-07</v>
      </c>
    </row>
    <row r="526" customFormat="false" ht="15" hidden="false" customHeight="false" outlineLevel="0" collapsed="false">
      <c r="A526" s="7" t="s">
        <v>1125</v>
      </c>
      <c r="B526" s="7" t="s">
        <v>1126</v>
      </c>
      <c r="C526" s="7" t="s">
        <v>659</v>
      </c>
      <c r="D526" s="7" t="s">
        <v>119</v>
      </c>
      <c r="E526" s="7" t="s">
        <v>120</v>
      </c>
      <c r="F526" s="7" t="s">
        <v>88</v>
      </c>
      <c r="G526" s="7" t="s">
        <v>81</v>
      </c>
      <c r="H526" s="7" t="s">
        <v>109</v>
      </c>
      <c r="I526" s="7" t="s">
        <v>75</v>
      </c>
      <c r="J526" s="7" t="n">
        <v>4</v>
      </c>
      <c r="K526" s="8" t="n">
        <v>620</v>
      </c>
      <c r="L526" s="9" t="n">
        <v>0.05</v>
      </c>
      <c r="M526" s="8" t="n">
        <v>1818.2</v>
      </c>
      <c r="N526" s="8" t="n">
        <f aca="false">J526*K526*(1-L526)</f>
        <v>2356</v>
      </c>
      <c r="O526" s="8" t="n">
        <f aca="false">N526-M526</f>
        <v>537.8</v>
      </c>
      <c r="P526" s="10" t="n">
        <f aca="false">IFERROR(O526/N526,0)</f>
        <v>0.228268251273345</v>
      </c>
      <c r="Q526" s="7" t="str">
        <f aca="false">TEXT(B526,"mmm")</f>
        <v>Mar</v>
      </c>
      <c r="R526" s="7" t="str">
        <f aca="false">TEXT(B526,"yyyy-mm")</f>
        <v>2024-03</v>
      </c>
    </row>
    <row r="527" customFormat="false" ht="15" hidden="false" customHeight="false" outlineLevel="0" collapsed="false">
      <c r="A527" s="7" t="s">
        <v>1127</v>
      </c>
      <c r="B527" s="7" t="s">
        <v>1128</v>
      </c>
      <c r="C527" s="7" t="s">
        <v>112</v>
      </c>
      <c r="D527" s="7" t="s">
        <v>113</v>
      </c>
      <c r="E527" s="7" t="s">
        <v>114</v>
      </c>
      <c r="F527" s="7" t="s">
        <v>57</v>
      </c>
      <c r="G527" s="7" t="s">
        <v>81</v>
      </c>
      <c r="H527" s="7" t="s">
        <v>237</v>
      </c>
      <c r="I527" s="7" t="s">
        <v>75</v>
      </c>
      <c r="J527" s="7" t="n">
        <v>4</v>
      </c>
      <c r="K527" s="8" t="n">
        <v>3069</v>
      </c>
      <c r="L527" s="9" t="n">
        <v>0.1</v>
      </c>
      <c r="M527" s="8" t="n">
        <v>9168.32</v>
      </c>
      <c r="N527" s="8" t="n">
        <f aca="false">J527*K527*(1-L527)</f>
        <v>11048.4</v>
      </c>
      <c r="O527" s="8" t="n">
        <f aca="false">N527-M527</f>
        <v>1880.08</v>
      </c>
      <c r="P527" s="10" t="n">
        <f aca="false">IFERROR(O527/N527,0)</f>
        <v>0.170167626081605</v>
      </c>
      <c r="Q527" s="7" t="str">
        <f aca="false">TEXT(B527,"mmm")</f>
        <v>Jul</v>
      </c>
      <c r="R527" s="7" t="str">
        <f aca="false">TEXT(B527,"yyyy-mm")</f>
        <v>2024-07</v>
      </c>
    </row>
    <row r="528" customFormat="false" ht="15" hidden="false" customHeight="false" outlineLevel="0" collapsed="false">
      <c r="A528" s="7" t="s">
        <v>1129</v>
      </c>
      <c r="B528" s="7" t="s">
        <v>785</v>
      </c>
      <c r="C528" s="7" t="s">
        <v>529</v>
      </c>
      <c r="D528" s="7" t="s">
        <v>104</v>
      </c>
      <c r="E528" s="7" t="s">
        <v>105</v>
      </c>
      <c r="F528" s="7" t="s">
        <v>48</v>
      </c>
      <c r="G528" s="7" t="s">
        <v>73</v>
      </c>
      <c r="H528" s="7" t="s">
        <v>115</v>
      </c>
      <c r="I528" s="7" t="s">
        <v>51</v>
      </c>
      <c r="J528" s="7" t="n">
        <v>2</v>
      </c>
      <c r="K528" s="8" t="n">
        <v>2000</v>
      </c>
      <c r="L528" s="9" t="n">
        <v>0</v>
      </c>
      <c r="M528" s="8" t="n">
        <v>1742.6</v>
      </c>
      <c r="N528" s="8" t="n">
        <f aca="false">J528*K528*(1-L528)</f>
        <v>4000</v>
      </c>
      <c r="O528" s="8" t="n">
        <f aca="false">N528-M528</f>
        <v>2257.4</v>
      </c>
      <c r="P528" s="10" t="n">
        <f aca="false">IFERROR(O528/N528,0)</f>
        <v>0.56435</v>
      </c>
      <c r="Q528" s="7" t="str">
        <f aca="false">TEXT(B528,"mmm")</f>
        <v>Sep</v>
      </c>
      <c r="R528" s="7" t="str">
        <f aca="false">TEXT(B528,"yyyy-mm")</f>
        <v>2024-09</v>
      </c>
    </row>
    <row r="529" customFormat="false" ht="15" hidden="false" customHeight="false" outlineLevel="0" collapsed="false">
      <c r="A529" s="7" t="s">
        <v>1130</v>
      </c>
      <c r="B529" s="7" t="s">
        <v>1025</v>
      </c>
      <c r="C529" s="7" t="s">
        <v>108</v>
      </c>
      <c r="D529" s="7" t="s">
        <v>287</v>
      </c>
      <c r="E529" s="7" t="s">
        <v>288</v>
      </c>
      <c r="F529" s="7" t="s">
        <v>72</v>
      </c>
      <c r="G529" s="7" t="s">
        <v>81</v>
      </c>
      <c r="H529" s="7" t="s">
        <v>109</v>
      </c>
      <c r="I529" s="7" t="s">
        <v>75</v>
      </c>
      <c r="J529" s="7" t="n">
        <v>3</v>
      </c>
      <c r="K529" s="8" t="n">
        <v>1049</v>
      </c>
      <c r="L529" s="9" t="n">
        <v>0.25</v>
      </c>
      <c r="M529" s="8" t="n">
        <v>1986.06</v>
      </c>
      <c r="N529" s="8" t="n">
        <f aca="false">J529*K529*(1-L529)</f>
        <v>2360.25</v>
      </c>
      <c r="O529" s="8" t="n">
        <f aca="false">N529-M529</f>
        <v>374.19</v>
      </c>
      <c r="P529" s="10" t="n">
        <f aca="false">IFERROR(O529/N529,0)</f>
        <v>0.158538290435335</v>
      </c>
      <c r="Q529" s="7" t="str">
        <f aca="false">TEXT(B529,"mmm")</f>
        <v>Oct</v>
      </c>
      <c r="R529" s="7" t="str">
        <f aca="false">TEXT(B529,"yyyy-mm")</f>
        <v>2024-10</v>
      </c>
    </row>
    <row r="530" customFormat="false" ht="15" hidden="false" customHeight="false" outlineLevel="0" collapsed="false">
      <c r="A530" s="7" t="s">
        <v>1131</v>
      </c>
      <c r="B530" s="7" t="s">
        <v>1132</v>
      </c>
      <c r="C530" s="7" t="s">
        <v>1048</v>
      </c>
      <c r="D530" s="7" t="s">
        <v>55</v>
      </c>
      <c r="E530" s="7" t="s">
        <v>56</v>
      </c>
      <c r="F530" s="7" t="s">
        <v>57</v>
      </c>
      <c r="G530" s="7" t="s">
        <v>65</v>
      </c>
      <c r="H530" s="7" t="s">
        <v>66</v>
      </c>
      <c r="I530" s="7" t="s">
        <v>75</v>
      </c>
      <c r="J530" s="7" t="n">
        <v>9</v>
      </c>
      <c r="K530" s="8" t="n">
        <v>2850</v>
      </c>
      <c r="L530" s="9" t="n">
        <v>0.1</v>
      </c>
      <c r="M530" s="8" t="n">
        <v>19153.35</v>
      </c>
      <c r="N530" s="8" t="n">
        <f aca="false">J530*K530*(1-L530)</f>
        <v>23085</v>
      </c>
      <c r="O530" s="8" t="n">
        <f aca="false">N530-M530</f>
        <v>3931.65</v>
      </c>
      <c r="P530" s="10" t="n">
        <f aca="false">IFERROR(O530/N530,0)</f>
        <v>0.170311890838207</v>
      </c>
      <c r="Q530" s="7" t="str">
        <f aca="false">TEXT(B530,"mmm")</f>
        <v>Nov</v>
      </c>
      <c r="R530" s="7" t="str">
        <f aca="false">TEXT(B530,"yyyy-mm")</f>
        <v>2024-11</v>
      </c>
    </row>
    <row r="531" customFormat="false" ht="15" hidden="false" customHeight="false" outlineLevel="0" collapsed="false">
      <c r="A531" s="7" t="s">
        <v>1133</v>
      </c>
      <c r="B531" s="7" t="s">
        <v>736</v>
      </c>
      <c r="C531" s="7" t="s">
        <v>790</v>
      </c>
      <c r="D531" s="7" t="s">
        <v>201</v>
      </c>
      <c r="E531" s="7" t="s">
        <v>202</v>
      </c>
      <c r="F531" s="7" t="s">
        <v>72</v>
      </c>
      <c r="G531" s="7" t="s">
        <v>73</v>
      </c>
      <c r="H531" s="7" t="s">
        <v>115</v>
      </c>
      <c r="I531" s="7" t="s">
        <v>51</v>
      </c>
      <c r="J531" s="7" t="n">
        <v>5</v>
      </c>
      <c r="K531" s="8" t="n">
        <v>3990</v>
      </c>
      <c r="L531" s="9" t="n">
        <v>0.2</v>
      </c>
      <c r="M531" s="8" t="n">
        <v>15168.05</v>
      </c>
      <c r="N531" s="8" t="n">
        <f aca="false">J531*K531*(1-L531)</f>
        <v>15960</v>
      </c>
      <c r="O531" s="8" t="n">
        <f aca="false">N531-M531</f>
        <v>791.950000000001</v>
      </c>
      <c r="P531" s="10" t="n">
        <f aca="false">IFERROR(O531/N531,0)</f>
        <v>0.0496209273182958</v>
      </c>
      <c r="Q531" s="7" t="str">
        <f aca="false">TEXT(B531,"mmm")</f>
        <v>Aug</v>
      </c>
      <c r="R531" s="7" t="str">
        <f aca="false">TEXT(B531,"yyyy-mm")</f>
        <v>2024-08</v>
      </c>
    </row>
    <row r="532" customFormat="false" ht="15" hidden="false" customHeight="false" outlineLevel="0" collapsed="false">
      <c r="A532" s="7" t="s">
        <v>1134</v>
      </c>
      <c r="B532" s="7" t="s">
        <v>1135</v>
      </c>
      <c r="C532" s="7" t="s">
        <v>307</v>
      </c>
      <c r="D532" s="7" t="s">
        <v>549</v>
      </c>
      <c r="E532" s="7" t="s">
        <v>550</v>
      </c>
      <c r="F532" s="7" t="s">
        <v>48</v>
      </c>
      <c r="G532" s="7" t="s">
        <v>49</v>
      </c>
      <c r="H532" s="7" t="s">
        <v>172</v>
      </c>
      <c r="I532" s="7" t="s">
        <v>51</v>
      </c>
      <c r="J532" s="7" t="n">
        <v>4</v>
      </c>
      <c r="K532" s="8" t="n">
        <v>3419</v>
      </c>
      <c r="L532" s="9" t="n">
        <v>0</v>
      </c>
      <c r="M532" s="8" t="n">
        <v>10041.28</v>
      </c>
      <c r="N532" s="8" t="n">
        <f aca="false">J532*K532*(1-L532)</f>
        <v>13676</v>
      </c>
      <c r="O532" s="8" t="n">
        <f aca="false">N532-M532</f>
        <v>3634.72</v>
      </c>
      <c r="P532" s="10" t="n">
        <f aca="false">IFERROR(O532/N532,0)</f>
        <v>0.265773618016964</v>
      </c>
      <c r="Q532" s="7" t="str">
        <f aca="false">TEXT(B532,"mmm")</f>
        <v>Jan</v>
      </c>
      <c r="R532" s="7" t="str">
        <f aca="false">TEXT(B532,"yyyy-mm")</f>
        <v>2024-01</v>
      </c>
    </row>
    <row r="533" customFormat="false" ht="15" hidden="false" customHeight="false" outlineLevel="0" collapsed="false">
      <c r="A533" s="7" t="s">
        <v>1136</v>
      </c>
      <c r="B533" s="7" t="s">
        <v>758</v>
      </c>
      <c r="C533" s="7" t="s">
        <v>593</v>
      </c>
      <c r="D533" s="7" t="s">
        <v>549</v>
      </c>
      <c r="E533" s="7" t="s">
        <v>550</v>
      </c>
      <c r="F533" s="7" t="s">
        <v>48</v>
      </c>
      <c r="G533" s="7" t="s">
        <v>73</v>
      </c>
      <c r="H533" s="7" t="s">
        <v>266</v>
      </c>
      <c r="I533" s="7" t="s">
        <v>51</v>
      </c>
      <c r="J533" s="7" t="n">
        <v>1</v>
      </c>
      <c r="K533" s="8" t="n">
        <v>3419</v>
      </c>
      <c r="L533" s="9" t="n">
        <v>0.05</v>
      </c>
      <c r="M533" s="8" t="n">
        <v>2510.32</v>
      </c>
      <c r="N533" s="8" t="n">
        <f aca="false">J533*K533*(1-L533)</f>
        <v>3248.05</v>
      </c>
      <c r="O533" s="8" t="n">
        <f aca="false">N533-M533</f>
        <v>737.73</v>
      </c>
      <c r="P533" s="10" t="n">
        <f aca="false">IFERROR(O533/N533,0)</f>
        <v>0.227130124228383</v>
      </c>
      <c r="Q533" s="7" t="str">
        <f aca="false">TEXT(B533,"mmm")</f>
        <v>Dec</v>
      </c>
      <c r="R533" s="7" t="str">
        <f aca="false">TEXT(B533,"yyyy-mm")</f>
        <v>2024-12</v>
      </c>
    </row>
    <row r="534" customFormat="false" ht="15" hidden="false" customHeight="false" outlineLevel="0" collapsed="false">
      <c r="A534" s="7" t="s">
        <v>1137</v>
      </c>
      <c r="B534" s="7" t="s">
        <v>718</v>
      </c>
      <c r="C534" s="7" t="s">
        <v>507</v>
      </c>
      <c r="D534" s="7" t="s">
        <v>170</v>
      </c>
      <c r="E534" s="7" t="s">
        <v>171</v>
      </c>
      <c r="F534" s="7" t="s">
        <v>88</v>
      </c>
      <c r="G534" s="7" t="s">
        <v>65</v>
      </c>
      <c r="H534" s="7" t="s">
        <v>126</v>
      </c>
      <c r="I534" s="7" t="s">
        <v>51</v>
      </c>
      <c r="J534" s="7" t="n">
        <v>10</v>
      </c>
      <c r="K534" s="8" t="n">
        <v>5749</v>
      </c>
      <c r="L534" s="9" t="n">
        <v>0.2</v>
      </c>
      <c r="M534" s="8" t="n">
        <v>31577.1</v>
      </c>
      <c r="N534" s="8" t="n">
        <f aca="false">J534*K534*(1-L534)</f>
        <v>45992</v>
      </c>
      <c r="O534" s="8" t="n">
        <f aca="false">N534-M534</f>
        <v>14414.9</v>
      </c>
      <c r="P534" s="10" t="n">
        <f aca="false">IFERROR(O534/N534,0)</f>
        <v>0.313421899460776</v>
      </c>
      <c r="Q534" s="7" t="str">
        <f aca="false">TEXT(B534,"mmm")</f>
        <v>Oct</v>
      </c>
      <c r="R534" s="7" t="str">
        <f aca="false">TEXT(B534,"yyyy-mm")</f>
        <v>2024-10</v>
      </c>
    </row>
    <row r="535" customFormat="false" ht="15" hidden="false" customHeight="false" outlineLevel="0" collapsed="false">
      <c r="A535" s="7" t="s">
        <v>1138</v>
      </c>
      <c r="B535" s="7" t="s">
        <v>736</v>
      </c>
      <c r="C535" s="7" t="s">
        <v>816</v>
      </c>
      <c r="D535" s="7" t="s">
        <v>176</v>
      </c>
      <c r="E535" s="7" t="s">
        <v>177</v>
      </c>
      <c r="F535" s="7" t="s">
        <v>72</v>
      </c>
      <c r="G535" s="7" t="s">
        <v>65</v>
      </c>
      <c r="H535" s="7" t="s">
        <v>217</v>
      </c>
      <c r="I535" s="7" t="s">
        <v>51</v>
      </c>
      <c r="J535" s="7" t="n">
        <v>2</v>
      </c>
      <c r="K535" s="8" t="n">
        <v>3969</v>
      </c>
      <c r="L535" s="9" t="n">
        <v>0</v>
      </c>
      <c r="M535" s="8" t="n">
        <v>4295.94</v>
      </c>
      <c r="N535" s="8" t="n">
        <f aca="false">J535*K535*(1-L535)</f>
        <v>7938</v>
      </c>
      <c r="O535" s="8" t="n">
        <f aca="false">N535-M535</f>
        <v>3642.06</v>
      </c>
      <c r="P535" s="10" t="n">
        <f aca="false">IFERROR(O535/N535,0)</f>
        <v>0.458813303099017</v>
      </c>
      <c r="Q535" s="7" t="str">
        <f aca="false">TEXT(B535,"mmm")</f>
        <v>Aug</v>
      </c>
      <c r="R535" s="7" t="str">
        <f aca="false">TEXT(B535,"yyyy-mm")</f>
        <v>2024-08</v>
      </c>
    </row>
    <row r="536" customFormat="false" ht="15" hidden="false" customHeight="false" outlineLevel="0" collapsed="false">
      <c r="A536" s="7" t="s">
        <v>1139</v>
      </c>
      <c r="B536" s="7" t="s">
        <v>1140</v>
      </c>
      <c r="C536" s="7" t="s">
        <v>108</v>
      </c>
      <c r="D536" s="7" t="s">
        <v>135</v>
      </c>
      <c r="E536" s="7" t="s">
        <v>136</v>
      </c>
      <c r="F536" s="7" t="s">
        <v>72</v>
      </c>
      <c r="G536" s="7" t="s">
        <v>81</v>
      </c>
      <c r="H536" s="7" t="s">
        <v>237</v>
      </c>
      <c r="I536" s="7" t="s">
        <v>51</v>
      </c>
      <c r="J536" s="7" t="n">
        <v>10</v>
      </c>
      <c r="K536" s="8" t="n">
        <v>7029</v>
      </c>
      <c r="L536" s="9" t="n">
        <v>0.2</v>
      </c>
      <c r="M536" s="8" t="n">
        <v>34870.1</v>
      </c>
      <c r="N536" s="8" t="n">
        <f aca="false">J536*K536*(1-L536)</f>
        <v>56232</v>
      </c>
      <c r="O536" s="8" t="n">
        <f aca="false">N536-M536</f>
        <v>21361.9</v>
      </c>
      <c r="P536" s="10" t="n">
        <f aca="false">IFERROR(O536/N536,0)</f>
        <v>0.379888675487267</v>
      </c>
      <c r="Q536" s="7" t="str">
        <f aca="false">TEXT(B536,"mmm")</f>
        <v>Nov</v>
      </c>
      <c r="R536" s="7" t="str">
        <f aca="false">TEXT(B536,"yyyy-mm")</f>
        <v>2024-11</v>
      </c>
    </row>
    <row r="537" customFormat="false" ht="15" hidden="false" customHeight="false" outlineLevel="0" collapsed="false">
      <c r="A537" s="7" t="s">
        <v>1141</v>
      </c>
      <c r="B537" s="7" t="s">
        <v>1062</v>
      </c>
      <c r="C537" s="7" t="s">
        <v>502</v>
      </c>
      <c r="D537" s="7" t="s">
        <v>113</v>
      </c>
      <c r="E537" s="7" t="s">
        <v>114</v>
      </c>
      <c r="F537" s="7" t="s">
        <v>57</v>
      </c>
      <c r="G537" s="7" t="s">
        <v>65</v>
      </c>
      <c r="H537" s="7" t="s">
        <v>126</v>
      </c>
      <c r="I537" s="7" t="s">
        <v>51</v>
      </c>
      <c r="J537" s="7" t="n">
        <v>4</v>
      </c>
      <c r="K537" s="8" t="n">
        <v>3069</v>
      </c>
      <c r="L537" s="9" t="n">
        <v>0.05</v>
      </c>
      <c r="M537" s="8" t="n">
        <v>9168.32</v>
      </c>
      <c r="N537" s="8" t="n">
        <f aca="false">J537*K537*(1-L537)</f>
        <v>11662.2</v>
      </c>
      <c r="O537" s="8" t="n">
        <f aca="false">N537-M537</f>
        <v>2493.88</v>
      </c>
      <c r="P537" s="10" t="n">
        <f aca="false">IFERROR(O537/N537,0)</f>
        <v>0.213843014182573</v>
      </c>
      <c r="Q537" s="7" t="str">
        <f aca="false">TEXT(B537,"mmm")</f>
        <v>Jan</v>
      </c>
      <c r="R537" s="7" t="str">
        <f aca="false">TEXT(B537,"yyyy-mm")</f>
        <v>2024-01</v>
      </c>
    </row>
    <row r="538" customFormat="false" ht="15" hidden="false" customHeight="false" outlineLevel="0" collapsed="false">
      <c r="A538" s="7" t="s">
        <v>1142</v>
      </c>
      <c r="B538" s="7" t="s">
        <v>168</v>
      </c>
      <c r="C538" s="7" t="s">
        <v>386</v>
      </c>
      <c r="D538" s="7" t="s">
        <v>343</v>
      </c>
      <c r="E538" s="7" t="s">
        <v>344</v>
      </c>
      <c r="F538" s="7" t="s">
        <v>88</v>
      </c>
      <c r="G538" s="7" t="s">
        <v>65</v>
      </c>
      <c r="H538" s="7" t="s">
        <v>217</v>
      </c>
      <c r="I538" s="7" t="s">
        <v>51</v>
      </c>
      <c r="J538" s="7" t="n">
        <v>3</v>
      </c>
      <c r="K538" s="8" t="n">
        <v>2169</v>
      </c>
      <c r="L538" s="9" t="n">
        <v>0.15</v>
      </c>
      <c r="M538" s="8" t="n">
        <v>4481.7</v>
      </c>
      <c r="N538" s="8" t="n">
        <f aca="false">J538*K538*(1-L538)</f>
        <v>5530.95</v>
      </c>
      <c r="O538" s="8" t="n">
        <f aca="false">N538-M538</f>
        <v>1049.25</v>
      </c>
      <c r="P538" s="10" t="n">
        <f aca="false">IFERROR(O538/N538,0)</f>
        <v>0.189705204350066</v>
      </c>
      <c r="Q538" s="7" t="str">
        <f aca="false">TEXT(B538,"mmm")</f>
        <v>Jul</v>
      </c>
      <c r="R538" s="7" t="str">
        <f aca="false">TEXT(B538,"yyyy-mm")</f>
        <v>2024-07</v>
      </c>
    </row>
    <row r="539" customFormat="false" ht="15" hidden="false" customHeight="false" outlineLevel="0" collapsed="false">
      <c r="A539" s="7" t="s">
        <v>1143</v>
      </c>
      <c r="B539" s="7" t="s">
        <v>385</v>
      </c>
      <c r="C539" s="7" t="s">
        <v>265</v>
      </c>
      <c r="D539" s="7" t="s">
        <v>206</v>
      </c>
      <c r="E539" s="7" t="s">
        <v>207</v>
      </c>
      <c r="F539" s="7" t="s">
        <v>88</v>
      </c>
      <c r="G539" s="7" t="s">
        <v>65</v>
      </c>
      <c r="H539" s="7" t="s">
        <v>106</v>
      </c>
      <c r="I539" s="7" t="s">
        <v>51</v>
      </c>
      <c r="J539" s="7" t="n">
        <v>3</v>
      </c>
      <c r="K539" s="8" t="n">
        <v>1029</v>
      </c>
      <c r="L539" s="9" t="n">
        <v>0.05</v>
      </c>
      <c r="M539" s="8" t="n">
        <v>1885.86</v>
      </c>
      <c r="N539" s="8" t="n">
        <f aca="false">J539*K539*(1-L539)</f>
        <v>2932.65</v>
      </c>
      <c r="O539" s="8" t="n">
        <f aca="false">N539-M539</f>
        <v>1046.79</v>
      </c>
      <c r="P539" s="10" t="n">
        <f aca="false">IFERROR(O539/N539,0)</f>
        <v>0.356943378855302</v>
      </c>
      <c r="Q539" s="7" t="str">
        <f aca="false">TEXT(B539,"mmm")</f>
        <v>Jul</v>
      </c>
      <c r="R539" s="7" t="str">
        <f aca="false">TEXT(B539,"yyyy-mm")</f>
        <v>2024-07</v>
      </c>
    </row>
    <row r="540" customFormat="false" ht="15" hidden="false" customHeight="false" outlineLevel="0" collapsed="false">
      <c r="A540" s="7" t="s">
        <v>1144</v>
      </c>
      <c r="B540" s="7" t="s">
        <v>277</v>
      </c>
      <c r="C540" s="7" t="s">
        <v>383</v>
      </c>
      <c r="D540" s="7" t="s">
        <v>260</v>
      </c>
      <c r="E540" s="7" t="s">
        <v>261</v>
      </c>
      <c r="F540" s="7" t="s">
        <v>72</v>
      </c>
      <c r="G540" s="7" t="s">
        <v>81</v>
      </c>
      <c r="H540" s="7" t="s">
        <v>186</v>
      </c>
      <c r="I540" s="7" t="s">
        <v>51</v>
      </c>
      <c r="J540" s="7" t="n">
        <v>4</v>
      </c>
      <c r="K540" s="8" t="n">
        <v>4879</v>
      </c>
      <c r="L540" s="9" t="n">
        <v>0</v>
      </c>
      <c r="M540" s="8" t="n">
        <v>9734.92</v>
      </c>
      <c r="N540" s="8" t="n">
        <f aca="false">J540*K540*(1-L540)</f>
        <v>19516</v>
      </c>
      <c r="O540" s="8" t="n">
        <f aca="false">N540-M540</f>
        <v>9781.08</v>
      </c>
      <c r="P540" s="10" t="n">
        <f aca="false">IFERROR(O540/N540,0)</f>
        <v>0.501182619389219</v>
      </c>
      <c r="Q540" s="7" t="str">
        <f aca="false">TEXT(B540,"mmm")</f>
        <v>May</v>
      </c>
      <c r="R540" s="7" t="str">
        <f aca="false">TEXT(B540,"yyyy-mm")</f>
        <v>2024-05</v>
      </c>
    </row>
    <row r="541" customFormat="false" ht="15" hidden="false" customHeight="false" outlineLevel="0" collapsed="false">
      <c r="A541" s="7" t="s">
        <v>1145</v>
      </c>
      <c r="B541" s="7" t="s">
        <v>1146</v>
      </c>
      <c r="C541" s="7" t="s">
        <v>640</v>
      </c>
      <c r="D541" s="7" t="s">
        <v>46</v>
      </c>
      <c r="E541" s="7" t="s">
        <v>47</v>
      </c>
      <c r="F541" s="7" t="s">
        <v>48</v>
      </c>
      <c r="G541" s="7" t="s">
        <v>65</v>
      </c>
      <c r="H541" s="7" t="s">
        <v>126</v>
      </c>
      <c r="I541" s="7" t="s">
        <v>75</v>
      </c>
      <c r="J541" s="7" t="n">
        <v>4</v>
      </c>
      <c r="K541" s="8" t="n">
        <v>4349</v>
      </c>
      <c r="L541" s="9" t="n">
        <v>0</v>
      </c>
      <c r="M541" s="8" t="n">
        <v>9955.08</v>
      </c>
      <c r="N541" s="8" t="n">
        <f aca="false">J541*K541*(1-L541)</f>
        <v>17396</v>
      </c>
      <c r="O541" s="8" t="n">
        <f aca="false">N541-M541</f>
        <v>7440.92</v>
      </c>
      <c r="P541" s="10" t="n">
        <f aca="false">IFERROR(O541/N541,0)</f>
        <v>0.427737410899057</v>
      </c>
      <c r="Q541" s="7" t="str">
        <f aca="false">TEXT(B541,"mmm")</f>
        <v>Dec</v>
      </c>
      <c r="R541" s="7" t="str">
        <f aca="false">TEXT(B541,"yyyy-mm")</f>
        <v>2024-12</v>
      </c>
    </row>
    <row r="542" customFormat="false" ht="15" hidden="false" customHeight="false" outlineLevel="0" collapsed="false">
      <c r="A542" s="7" t="s">
        <v>1147</v>
      </c>
      <c r="B542" s="7" t="s">
        <v>352</v>
      </c>
      <c r="C542" s="7" t="s">
        <v>529</v>
      </c>
      <c r="D542" s="7" t="s">
        <v>130</v>
      </c>
      <c r="E542" s="7" t="s">
        <v>131</v>
      </c>
      <c r="F542" s="7" t="s">
        <v>72</v>
      </c>
      <c r="G542" s="7" t="s">
        <v>73</v>
      </c>
      <c r="H542" s="7" t="s">
        <v>266</v>
      </c>
      <c r="I542" s="7" t="s">
        <v>51</v>
      </c>
      <c r="J542" s="7" t="n">
        <v>7</v>
      </c>
      <c r="K542" s="8" t="n">
        <v>7899</v>
      </c>
      <c r="L542" s="9" t="n">
        <v>0</v>
      </c>
      <c r="M542" s="8" t="n">
        <v>23840.81</v>
      </c>
      <c r="N542" s="8" t="n">
        <f aca="false">J542*K542*(1-L542)</f>
        <v>55293</v>
      </c>
      <c r="O542" s="8" t="n">
        <f aca="false">N542-M542</f>
        <v>31452.19</v>
      </c>
      <c r="P542" s="10" t="n">
        <f aca="false">IFERROR(O542/N542,0)</f>
        <v>0.568827699708824</v>
      </c>
      <c r="Q542" s="7" t="str">
        <f aca="false">TEXT(B542,"mmm")</f>
        <v>Jan</v>
      </c>
      <c r="R542" s="7" t="str">
        <f aca="false">TEXT(B542,"yyyy-mm")</f>
        <v>2024-01</v>
      </c>
    </row>
    <row r="543" customFormat="false" ht="15" hidden="false" customHeight="false" outlineLevel="0" collapsed="false">
      <c r="A543" s="7" t="s">
        <v>1148</v>
      </c>
      <c r="B543" s="7" t="s">
        <v>542</v>
      </c>
      <c r="C543" s="7" t="s">
        <v>622</v>
      </c>
      <c r="D543" s="7" t="s">
        <v>55</v>
      </c>
      <c r="E543" s="7" t="s">
        <v>56</v>
      </c>
      <c r="F543" s="7" t="s">
        <v>57</v>
      </c>
      <c r="G543" s="7" t="s">
        <v>65</v>
      </c>
      <c r="H543" s="7" t="s">
        <v>126</v>
      </c>
      <c r="I543" s="7" t="s">
        <v>51</v>
      </c>
      <c r="J543" s="7" t="n">
        <v>3</v>
      </c>
      <c r="K543" s="8" t="n">
        <v>2850</v>
      </c>
      <c r="L543" s="9" t="n">
        <v>0</v>
      </c>
      <c r="M543" s="8" t="n">
        <v>6384.45</v>
      </c>
      <c r="N543" s="8" t="n">
        <f aca="false">J543*K543*(1-L543)</f>
        <v>8550</v>
      </c>
      <c r="O543" s="8" t="n">
        <f aca="false">N543-M543</f>
        <v>2165.55</v>
      </c>
      <c r="P543" s="10" t="n">
        <f aca="false">IFERROR(O543/N543,0)</f>
        <v>0.253280701754386</v>
      </c>
      <c r="Q543" s="7" t="str">
        <f aca="false">TEXT(B543,"mmm")</f>
        <v>Mar</v>
      </c>
      <c r="R543" s="7" t="str">
        <f aca="false">TEXT(B543,"yyyy-mm")</f>
        <v>2024-03</v>
      </c>
    </row>
    <row r="544" customFormat="false" ht="15" hidden="false" customHeight="false" outlineLevel="0" collapsed="false">
      <c r="A544" s="7" t="s">
        <v>1149</v>
      </c>
      <c r="B544" s="7" t="s">
        <v>375</v>
      </c>
      <c r="C544" s="7" t="s">
        <v>1150</v>
      </c>
      <c r="D544" s="7" t="s">
        <v>249</v>
      </c>
      <c r="E544" s="7" t="s">
        <v>250</v>
      </c>
      <c r="F544" s="7" t="s">
        <v>57</v>
      </c>
      <c r="G544" s="7" t="s">
        <v>73</v>
      </c>
      <c r="H544" s="7" t="s">
        <v>211</v>
      </c>
      <c r="I544" s="7" t="s">
        <v>51</v>
      </c>
      <c r="J544" s="7" t="n">
        <v>6</v>
      </c>
      <c r="K544" s="8" t="n">
        <v>1730</v>
      </c>
      <c r="L544" s="9" t="n">
        <v>0.25</v>
      </c>
      <c r="M544" s="8" t="n">
        <v>5294.64</v>
      </c>
      <c r="N544" s="8" t="n">
        <f aca="false">J544*K544*(1-L544)</f>
        <v>7785</v>
      </c>
      <c r="O544" s="8" t="n">
        <f aca="false">N544-M544</f>
        <v>2490.36</v>
      </c>
      <c r="P544" s="10" t="n">
        <f aca="false">IFERROR(O544/N544,0)</f>
        <v>0.319892100192678</v>
      </c>
      <c r="Q544" s="7" t="str">
        <f aca="false">TEXT(B544,"mmm")</f>
        <v>Nov</v>
      </c>
      <c r="R544" s="7" t="str">
        <f aca="false">TEXT(B544,"yyyy-mm")</f>
        <v>2024-11</v>
      </c>
    </row>
    <row r="545" customFormat="false" ht="15" hidden="false" customHeight="false" outlineLevel="0" collapsed="false">
      <c r="A545" s="7" t="s">
        <v>1151</v>
      </c>
      <c r="B545" s="7" t="s">
        <v>1152</v>
      </c>
      <c r="C545" s="7" t="s">
        <v>631</v>
      </c>
      <c r="D545" s="7" t="s">
        <v>119</v>
      </c>
      <c r="E545" s="7" t="s">
        <v>120</v>
      </c>
      <c r="F545" s="7" t="s">
        <v>88</v>
      </c>
      <c r="G545" s="7" t="s">
        <v>73</v>
      </c>
      <c r="H545" s="7" t="s">
        <v>115</v>
      </c>
      <c r="I545" s="7" t="s">
        <v>51</v>
      </c>
      <c r="J545" s="7" t="n">
        <v>3</v>
      </c>
      <c r="K545" s="8" t="n">
        <v>620</v>
      </c>
      <c r="L545" s="9" t="n">
        <v>0</v>
      </c>
      <c r="M545" s="8" t="n">
        <v>1363.65</v>
      </c>
      <c r="N545" s="8" t="n">
        <f aca="false">J545*K545*(1-L545)</f>
        <v>1860</v>
      </c>
      <c r="O545" s="8" t="n">
        <f aca="false">N545-M545</f>
        <v>496.35</v>
      </c>
      <c r="P545" s="10" t="n">
        <f aca="false">IFERROR(O545/N545,0)</f>
        <v>0.266854838709677</v>
      </c>
      <c r="Q545" s="7" t="str">
        <f aca="false">TEXT(B545,"mmm")</f>
        <v>Feb</v>
      </c>
      <c r="R545" s="7" t="str">
        <f aca="false">TEXT(B545,"yyyy-mm")</f>
        <v>2024-02</v>
      </c>
    </row>
    <row r="546" customFormat="false" ht="15" hidden="false" customHeight="false" outlineLevel="0" collapsed="false">
      <c r="A546" s="7" t="s">
        <v>1153</v>
      </c>
      <c r="B546" s="7" t="s">
        <v>68</v>
      </c>
      <c r="C546" s="7" t="s">
        <v>399</v>
      </c>
      <c r="D546" s="7" t="s">
        <v>149</v>
      </c>
      <c r="E546" s="7" t="s">
        <v>150</v>
      </c>
      <c r="F546" s="7" t="s">
        <v>88</v>
      </c>
      <c r="G546" s="7" t="s">
        <v>73</v>
      </c>
      <c r="H546" s="7" t="s">
        <v>266</v>
      </c>
      <c r="I546" s="7" t="s">
        <v>51</v>
      </c>
      <c r="J546" s="7" t="n">
        <v>4</v>
      </c>
      <c r="K546" s="8" t="n">
        <v>5219</v>
      </c>
      <c r="L546" s="9" t="n">
        <v>0.2</v>
      </c>
      <c r="M546" s="8" t="n">
        <v>13964.16</v>
      </c>
      <c r="N546" s="8" t="n">
        <f aca="false">J546*K546*(1-L546)</f>
        <v>16700.8</v>
      </c>
      <c r="O546" s="8" t="n">
        <f aca="false">N546-M546</f>
        <v>2736.64</v>
      </c>
      <c r="P546" s="10" t="n">
        <f aca="false">IFERROR(O546/N546,0)</f>
        <v>0.163862808967235</v>
      </c>
      <c r="Q546" s="7" t="str">
        <f aca="false">TEXT(B546,"mmm")</f>
        <v>Dec</v>
      </c>
      <c r="R546" s="7" t="str">
        <f aca="false">TEXT(B546,"yyyy-mm")</f>
        <v>2024-12</v>
      </c>
    </row>
    <row r="547" customFormat="false" ht="15" hidden="false" customHeight="false" outlineLevel="0" collapsed="false">
      <c r="A547" s="7" t="s">
        <v>1154</v>
      </c>
      <c r="B547" s="7" t="s">
        <v>1014</v>
      </c>
      <c r="C547" s="7" t="s">
        <v>790</v>
      </c>
      <c r="D547" s="7" t="s">
        <v>244</v>
      </c>
      <c r="E547" s="7" t="s">
        <v>245</v>
      </c>
      <c r="F547" s="7" t="s">
        <v>88</v>
      </c>
      <c r="G547" s="7" t="s">
        <v>49</v>
      </c>
      <c r="H547" s="7" t="s">
        <v>172</v>
      </c>
      <c r="I547" s="7" t="s">
        <v>75</v>
      </c>
      <c r="J547" s="7" t="n">
        <v>4</v>
      </c>
      <c r="K547" s="8" t="n">
        <v>5319</v>
      </c>
      <c r="L547" s="9" t="n">
        <v>0.15</v>
      </c>
      <c r="M547" s="8" t="n">
        <v>12343.32</v>
      </c>
      <c r="N547" s="8" t="n">
        <f aca="false">J547*K547*(1-L547)</f>
        <v>18084.6</v>
      </c>
      <c r="O547" s="8" t="n">
        <f aca="false">N547-M547</f>
        <v>5741.28</v>
      </c>
      <c r="P547" s="10" t="n">
        <f aca="false">IFERROR(O547/N547,0)</f>
        <v>0.31746790086593</v>
      </c>
      <c r="Q547" s="7" t="str">
        <f aca="false">TEXT(B547,"mmm")</f>
        <v>Apr</v>
      </c>
      <c r="R547" s="7" t="str">
        <f aca="false">TEXT(B547,"yyyy-mm")</f>
        <v>2024-04</v>
      </c>
    </row>
    <row r="548" customFormat="false" ht="15" hidden="false" customHeight="false" outlineLevel="0" collapsed="false">
      <c r="A548" s="7" t="s">
        <v>1155</v>
      </c>
      <c r="B548" s="7" t="s">
        <v>1069</v>
      </c>
      <c r="C548" s="7" t="s">
        <v>659</v>
      </c>
      <c r="D548" s="7" t="s">
        <v>201</v>
      </c>
      <c r="E548" s="7" t="s">
        <v>202</v>
      </c>
      <c r="F548" s="7" t="s">
        <v>72</v>
      </c>
      <c r="G548" s="7" t="s">
        <v>49</v>
      </c>
      <c r="H548" s="7" t="s">
        <v>58</v>
      </c>
      <c r="I548" s="7" t="s">
        <v>75</v>
      </c>
      <c r="J548" s="7" t="n">
        <v>9</v>
      </c>
      <c r="K548" s="8" t="n">
        <v>3990</v>
      </c>
      <c r="L548" s="9" t="n">
        <v>0.15</v>
      </c>
      <c r="M548" s="8" t="n">
        <v>27302.49</v>
      </c>
      <c r="N548" s="8" t="n">
        <f aca="false">J548*K548*(1-L548)</f>
        <v>30523.5</v>
      </c>
      <c r="O548" s="8" t="n">
        <f aca="false">N548-M548</f>
        <v>3221.01</v>
      </c>
      <c r="P548" s="10" t="n">
        <f aca="false">IFERROR(O548/N548,0)</f>
        <v>0.105525578652514</v>
      </c>
      <c r="Q548" s="7" t="str">
        <f aca="false">TEXT(B548,"mmm")</f>
        <v>Oct</v>
      </c>
      <c r="R548" s="7" t="str">
        <f aca="false">TEXT(B548,"yyyy-mm")</f>
        <v>2024-10</v>
      </c>
    </row>
    <row r="549" customFormat="false" ht="15" hidden="false" customHeight="false" outlineLevel="0" collapsed="false">
      <c r="A549" s="7" t="s">
        <v>1156</v>
      </c>
      <c r="B549" s="7" t="s">
        <v>822</v>
      </c>
      <c r="C549" s="7" t="s">
        <v>994</v>
      </c>
      <c r="D549" s="7" t="s">
        <v>260</v>
      </c>
      <c r="E549" s="7" t="s">
        <v>261</v>
      </c>
      <c r="F549" s="7" t="s">
        <v>72</v>
      </c>
      <c r="G549" s="7" t="s">
        <v>81</v>
      </c>
      <c r="H549" s="7" t="s">
        <v>186</v>
      </c>
      <c r="I549" s="7" t="s">
        <v>51</v>
      </c>
      <c r="J549" s="7" t="n">
        <v>6</v>
      </c>
      <c r="K549" s="8" t="n">
        <v>4879</v>
      </c>
      <c r="L549" s="9" t="n">
        <v>0</v>
      </c>
      <c r="M549" s="8" t="n">
        <v>14602.38</v>
      </c>
      <c r="N549" s="8" t="n">
        <f aca="false">J549*K549*(1-L549)</f>
        <v>29274</v>
      </c>
      <c r="O549" s="8" t="n">
        <f aca="false">N549-M549</f>
        <v>14671.62</v>
      </c>
      <c r="P549" s="10" t="n">
        <f aca="false">IFERROR(O549/N549,0)</f>
        <v>0.501182619389219</v>
      </c>
      <c r="Q549" s="7" t="str">
        <f aca="false">TEXT(B549,"mmm")</f>
        <v>Oct</v>
      </c>
      <c r="R549" s="7" t="str">
        <f aca="false">TEXT(B549,"yyyy-mm")</f>
        <v>2024-10</v>
      </c>
    </row>
    <row r="550" customFormat="false" ht="15" hidden="false" customHeight="false" outlineLevel="0" collapsed="false">
      <c r="A550" s="7" t="s">
        <v>1157</v>
      </c>
      <c r="B550" s="7" t="s">
        <v>666</v>
      </c>
      <c r="C550" s="7" t="s">
        <v>161</v>
      </c>
      <c r="D550" s="7" t="s">
        <v>197</v>
      </c>
      <c r="E550" s="7" t="s">
        <v>198</v>
      </c>
      <c r="F550" s="7" t="s">
        <v>64</v>
      </c>
      <c r="G550" s="7" t="s">
        <v>73</v>
      </c>
      <c r="H550" s="7" t="s">
        <v>266</v>
      </c>
      <c r="I550" s="7" t="s">
        <v>75</v>
      </c>
      <c r="J550" s="7" t="n">
        <v>3</v>
      </c>
      <c r="K550" s="8" t="n">
        <v>2910</v>
      </c>
      <c r="L550" s="9" t="n">
        <v>0</v>
      </c>
      <c r="M550" s="8" t="n">
        <v>4020.48</v>
      </c>
      <c r="N550" s="8" t="n">
        <f aca="false">J550*K550*(1-L550)</f>
        <v>8730</v>
      </c>
      <c r="O550" s="8" t="n">
        <f aca="false">N550-M550</f>
        <v>4709.52</v>
      </c>
      <c r="P550" s="10" t="n">
        <f aca="false">IFERROR(O550/N550,0)</f>
        <v>0.539463917525773</v>
      </c>
      <c r="Q550" s="7" t="str">
        <f aca="false">TEXT(B550,"mmm")</f>
        <v>Jun</v>
      </c>
      <c r="R550" s="7" t="str">
        <f aca="false">TEXT(B550,"yyyy-mm")</f>
        <v>2024-06</v>
      </c>
    </row>
    <row r="551" customFormat="false" ht="15" hidden="false" customHeight="false" outlineLevel="0" collapsed="false">
      <c r="A551" s="7" t="s">
        <v>1158</v>
      </c>
      <c r="B551" s="7" t="s">
        <v>1159</v>
      </c>
      <c r="C551" s="7" t="s">
        <v>330</v>
      </c>
      <c r="D551" s="7" t="s">
        <v>70</v>
      </c>
      <c r="E551" s="7" t="s">
        <v>71</v>
      </c>
      <c r="F551" s="7" t="s">
        <v>72</v>
      </c>
      <c r="G551" s="7" t="s">
        <v>73</v>
      </c>
      <c r="H551" s="7" t="s">
        <v>74</v>
      </c>
      <c r="I551" s="7" t="s">
        <v>75</v>
      </c>
      <c r="J551" s="7" t="n">
        <v>6</v>
      </c>
      <c r="K551" s="8" t="n">
        <v>3059</v>
      </c>
      <c r="L551" s="9" t="n">
        <v>0.25</v>
      </c>
      <c r="M551" s="8" t="n">
        <v>9638.76</v>
      </c>
      <c r="N551" s="8" t="n">
        <f aca="false">J551*K551*(1-L551)</f>
        <v>13765.5</v>
      </c>
      <c r="O551" s="8" t="n">
        <f aca="false">N551-M551</f>
        <v>4126.74</v>
      </c>
      <c r="P551" s="10" t="n">
        <f aca="false">IFERROR(O551/N551,0)</f>
        <v>0.299788601939632</v>
      </c>
      <c r="Q551" s="7" t="str">
        <f aca="false">TEXT(B551,"mmm")</f>
        <v>Oct</v>
      </c>
      <c r="R551" s="7" t="str">
        <f aca="false">TEXT(B551,"yyyy-mm")</f>
        <v>2024-10</v>
      </c>
    </row>
    <row r="552" customFormat="false" ht="15" hidden="false" customHeight="false" outlineLevel="0" collapsed="false">
      <c r="A552" s="7" t="s">
        <v>1160</v>
      </c>
      <c r="B552" s="7" t="s">
        <v>638</v>
      </c>
      <c r="C552" s="7" t="s">
        <v>734</v>
      </c>
      <c r="D552" s="7" t="s">
        <v>113</v>
      </c>
      <c r="E552" s="7" t="s">
        <v>114</v>
      </c>
      <c r="F552" s="7" t="s">
        <v>57</v>
      </c>
      <c r="G552" s="7" t="s">
        <v>65</v>
      </c>
      <c r="H552" s="7" t="s">
        <v>217</v>
      </c>
      <c r="I552" s="7" t="s">
        <v>51</v>
      </c>
      <c r="J552" s="7" t="n">
        <v>2</v>
      </c>
      <c r="K552" s="8" t="n">
        <v>3069</v>
      </c>
      <c r="L552" s="9" t="n">
        <v>0</v>
      </c>
      <c r="M552" s="8" t="n">
        <v>4584.16</v>
      </c>
      <c r="N552" s="8" t="n">
        <f aca="false">J552*K552*(1-L552)</f>
        <v>6138</v>
      </c>
      <c r="O552" s="8" t="n">
        <f aca="false">N552-M552</f>
        <v>1553.84</v>
      </c>
      <c r="P552" s="10" t="n">
        <f aca="false">IFERROR(O552/N552,0)</f>
        <v>0.253150863473444</v>
      </c>
      <c r="Q552" s="7" t="str">
        <f aca="false">TEXT(B552,"mmm")</f>
        <v>Jul</v>
      </c>
      <c r="R552" s="7" t="str">
        <f aca="false">TEXT(B552,"yyyy-mm")</f>
        <v>2024-07</v>
      </c>
    </row>
    <row r="553" customFormat="false" ht="15" hidden="false" customHeight="false" outlineLevel="0" collapsed="false">
      <c r="A553" s="7" t="s">
        <v>1161</v>
      </c>
      <c r="B553" s="7" t="s">
        <v>795</v>
      </c>
      <c r="C553" s="7" t="s">
        <v>563</v>
      </c>
      <c r="D553" s="7" t="s">
        <v>162</v>
      </c>
      <c r="E553" s="7" t="s">
        <v>163</v>
      </c>
      <c r="F553" s="7" t="s">
        <v>57</v>
      </c>
      <c r="G553" s="7" t="s">
        <v>73</v>
      </c>
      <c r="H553" s="7" t="s">
        <v>211</v>
      </c>
      <c r="I553" s="7" t="s">
        <v>75</v>
      </c>
      <c r="J553" s="7" t="n">
        <v>3</v>
      </c>
      <c r="K553" s="8" t="n">
        <v>4629</v>
      </c>
      <c r="L553" s="9" t="n">
        <v>0.15</v>
      </c>
      <c r="M553" s="8" t="n">
        <v>6090.51</v>
      </c>
      <c r="N553" s="8" t="n">
        <f aca="false">J553*K553*(1-L553)</f>
        <v>11803.95</v>
      </c>
      <c r="O553" s="8" t="n">
        <f aca="false">N553-M553</f>
        <v>5713.44</v>
      </c>
      <c r="P553" s="10" t="n">
        <f aca="false">IFERROR(O553/N553,0)</f>
        <v>0.484027804251966</v>
      </c>
      <c r="Q553" s="7" t="str">
        <f aca="false">TEXT(B553,"mmm")</f>
        <v>Dec</v>
      </c>
      <c r="R553" s="7" t="str">
        <f aca="false">TEXT(B553,"yyyy-mm")</f>
        <v>2024-12</v>
      </c>
    </row>
    <row r="554" customFormat="false" ht="15" hidden="false" customHeight="false" outlineLevel="0" collapsed="false">
      <c r="A554" s="7" t="s">
        <v>1162</v>
      </c>
      <c r="B554" s="7" t="s">
        <v>1163</v>
      </c>
      <c r="C554" s="7" t="s">
        <v>724</v>
      </c>
      <c r="D554" s="7" t="s">
        <v>197</v>
      </c>
      <c r="E554" s="7" t="s">
        <v>198</v>
      </c>
      <c r="F554" s="7" t="s">
        <v>64</v>
      </c>
      <c r="G554" s="7" t="s">
        <v>49</v>
      </c>
      <c r="H554" s="7" t="s">
        <v>100</v>
      </c>
      <c r="I554" s="7" t="s">
        <v>51</v>
      </c>
      <c r="J554" s="7" t="n">
        <v>2</v>
      </c>
      <c r="K554" s="8" t="n">
        <v>2910</v>
      </c>
      <c r="L554" s="9" t="n">
        <v>0.05</v>
      </c>
      <c r="M554" s="8" t="n">
        <v>2680.32</v>
      </c>
      <c r="N554" s="8" t="n">
        <f aca="false">J554*K554*(1-L554)</f>
        <v>5529</v>
      </c>
      <c r="O554" s="8" t="n">
        <f aca="false">N554-M554</f>
        <v>2848.68</v>
      </c>
      <c r="P554" s="10" t="n">
        <f aca="false">IFERROR(O554/N554,0)</f>
        <v>0.515225176342919</v>
      </c>
      <c r="Q554" s="7" t="str">
        <f aca="false">TEXT(B554,"mmm")</f>
        <v>Feb</v>
      </c>
      <c r="R554" s="7" t="str">
        <f aca="false">TEXT(B554,"yyyy-mm")</f>
        <v>2024-02</v>
      </c>
    </row>
    <row r="555" customFormat="false" ht="15" hidden="false" customHeight="false" outlineLevel="0" collapsed="false">
      <c r="A555" s="7" t="s">
        <v>1164</v>
      </c>
      <c r="B555" s="7" t="s">
        <v>1165</v>
      </c>
      <c r="C555" s="7" t="s">
        <v>502</v>
      </c>
      <c r="D555" s="7" t="s">
        <v>314</v>
      </c>
      <c r="E555" s="7" t="s">
        <v>315</v>
      </c>
      <c r="F555" s="7" t="s">
        <v>64</v>
      </c>
      <c r="G555" s="7" t="s">
        <v>81</v>
      </c>
      <c r="H555" s="7" t="s">
        <v>109</v>
      </c>
      <c r="I555" s="7" t="s">
        <v>51</v>
      </c>
      <c r="J555" s="7" t="n">
        <v>5</v>
      </c>
      <c r="K555" s="8" t="n">
        <v>4059</v>
      </c>
      <c r="L555" s="9" t="n">
        <v>0.1</v>
      </c>
      <c r="M555" s="8" t="n">
        <v>11397.7</v>
      </c>
      <c r="N555" s="8" t="n">
        <f aca="false">J555*K555*(1-L555)</f>
        <v>18265.5</v>
      </c>
      <c r="O555" s="8" t="n">
        <f aca="false">N555-M555</f>
        <v>6867.8</v>
      </c>
      <c r="P555" s="10" t="n">
        <f aca="false">IFERROR(O555/N555,0)</f>
        <v>0.375998467055378</v>
      </c>
      <c r="Q555" s="7" t="str">
        <f aca="false">TEXT(B555,"mmm")</f>
        <v>Nov</v>
      </c>
      <c r="R555" s="7" t="str">
        <f aca="false">TEXT(B555,"yyyy-mm")</f>
        <v>2024-11</v>
      </c>
    </row>
    <row r="556" customFormat="false" ht="15" hidden="false" customHeight="false" outlineLevel="0" collapsed="false">
      <c r="A556" s="7" t="s">
        <v>1166</v>
      </c>
      <c r="B556" s="7" t="s">
        <v>867</v>
      </c>
      <c r="C556" s="7" t="s">
        <v>504</v>
      </c>
      <c r="D556" s="7" t="s">
        <v>197</v>
      </c>
      <c r="E556" s="7" t="s">
        <v>198</v>
      </c>
      <c r="F556" s="7" t="s">
        <v>64</v>
      </c>
      <c r="G556" s="7" t="s">
        <v>81</v>
      </c>
      <c r="H556" s="7" t="s">
        <v>109</v>
      </c>
      <c r="I556" s="7" t="s">
        <v>75</v>
      </c>
      <c r="J556" s="7" t="n">
        <v>3</v>
      </c>
      <c r="K556" s="8" t="n">
        <v>2910</v>
      </c>
      <c r="L556" s="9" t="n">
        <v>0</v>
      </c>
      <c r="M556" s="8" t="n">
        <v>4020.48</v>
      </c>
      <c r="N556" s="8" t="n">
        <f aca="false">J556*K556*(1-L556)</f>
        <v>8730</v>
      </c>
      <c r="O556" s="8" t="n">
        <f aca="false">N556-M556</f>
        <v>4709.52</v>
      </c>
      <c r="P556" s="10" t="n">
        <f aca="false">IFERROR(O556/N556,0)</f>
        <v>0.539463917525773</v>
      </c>
      <c r="Q556" s="7" t="str">
        <f aca="false">TEXT(B556,"mmm")</f>
        <v>Jul</v>
      </c>
      <c r="R556" s="7" t="str">
        <f aca="false">TEXT(B556,"yyyy-mm")</f>
        <v>2024-07</v>
      </c>
    </row>
    <row r="557" customFormat="false" ht="15" hidden="false" customHeight="false" outlineLevel="0" collapsed="false">
      <c r="A557" s="7" t="s">
        <v>1167</v>
      </c>
      <c r="B557" s="7" t="s">
        <v>1168</v>
      </c>
      <c r="C557" s="7" t="s">
        <v>419</v>
      </c>
      <c r="D557" s="7" t="s">
        <v>343</v>
      </c>
      <c r="E557" s="7" t="s">
        <v>344</v>
      </c>
      <c r="F557" s="7" t="s">
        <v>88</v>
      </c>
      <c r="G557" s="7" t="s">
        <v>49</v>
      </c>
      <c r="H557" s="7" t="s">
        <v>172</v>
      </c>
      <c r="I557" s="7" t="s">
        <v>51</v>
      </c>
      <c r="J557" s="7" t="n">
        <v>5</v>
      </c>
      <c r="K557" s="8" t="n">
        <v>2169</v>
      </c>
      <c r="L557" s="9" t="n">
        <v>0</v>
      </c>
      <c r="M557" s="8" t="n">
        <v>7469.5</v>
      </c>
      <c r="N557" s="8" t="n">
        <f aca="false">J557*K557*(1-L557)</f>
        <v>10845</v>
      </c>
      <c r="O557" s="8" t="n">
        <f aca="false">N557-M557</f>
        <v>3375.5</v>
      </c>
      <c r="P557" s="10" t="n">
        <f aca="false">IFERROR(O557/N557,0)</f>
        <v>0.311249423697557</v>
      </c>
      <c r="Q557" s="7" t="str">
        <f aca="false">TEXT(B557,"mmm")</f>
        <v>Feb</v>
      </c>
      <c r="R557" s="7" t="str">
        <f aca="false">TEXT(B557,"yyyy-mm")</f>
        <v>2024-02</v>
      </c>
    </row>
    <row r="558" customFormat="false" ht="15" hidden="false" customHeight="false" outlineLevel="0" collapsed="false">
      <c r="A558" s="7" t="s">
        <v>1169</v>
      </c>
      <c r="B558" s="7" t="s">
        <v>818</v>
      </c>
      <c r="C558" s="7" t="s">
        <v>920</v>
      </c>
      <c r="D558" s="7" t="s">
        <v>124</v>
      </c>
      <c r="E558" s="7" t="s">
        <v>125</v>
      </c>
      <c r="F558" s="7" t="s">
        <v>64</v>
      </c>
      <c r="G558" s="7" t="s">
        <v>49</v>
      </c>
      <c r="H558" s="7" t="s">
        <v>58</v>
      </c>
      <c r="I558" s="7" t="s">
        <v>51</v>
      </c>
      <c r="J558" s="7" t="n">
        <v>2</v>
      </c>
      <c r="K558" s="8" t="n">
        <v>1349</v>
      </c>
      <c r="L558" s="9" t="n">
        <v>0.25</v>
      </c>
      <c r="M558" s="8" t="n">
        <v>1394.8</v>
      </c>
      <c r="N558" s="8" t="n">
        <f aca="false">J558*K558*(1-L558)</f>
        <v>2023.5</v>
      </c>
      <c r="O558" s="8" t="n">
        <f aca="false">N558-M558</f>
        <v>628.7</v>
      </c>
      <c r="P558" s="10" t="n">
        <f aca="false">IFERROR(O558/N558,0)</f>
        <v>0.310699283419817</v>
      </c>
      <c r="Q558" s="7" t="str">
        <f aca="false">TEXT(B558,"mmm")</f>
        <v>Jul</v>
      </c>
      <c r="R558" s="7" t="str">
        <f aca="false">TEXT(B558,"yyyy-mm")</f>
        <v>2024-07</v>
      </c>
    </row>
    <row r="559" customFormat="false" ht="15" hidden="false" customHeight="false" outlineLevel="0" collapsed="false">
      <c r="A559" s="7" t="s">
        <v>1170</v>
      </c>
      <c r="B559" s="7" t="s">
        <v>539</v>
      </c>
      <c r="C559" s="7" t="s">
        <v>103</v>
      </c>
      <c r="D559" s="7" t="s">
        <v>162</v>
      </c>
      <c r="E559" s="7" t="s">
        <v>163</v>
      </c>
      <c r="F559" s="7" t="s">
        <v>57</v>
      </c>
      <c r="G559" s="7" t="s">
        <v>65</v>
      </c>
      <c r="H559" s="7" t="s">
        <v>126</v>
      </c>
      <c r="I559" s="7" t="s">
        <v>51</v>
      </c>
      <c r="J559" s="7" t="n">
        <v>4</v>
      </c>
      <c r="K559" s="8" t="n">
        <v>4629</v>
      </c>
      <c r="L559" s="9" t="n">
        <v>0</v>
      </c>
      <c r="M559" s="8" t="n">
        <v>8120.68</v>
      </c>
      <c r="N559" s="8" t="n">
        <f aca="false">J559*K559*(1-L559)</f>
        <v>18516</v>
      </c>
      <c r="O559" s="8" t="n">
        <f aca="false">N559-M559</f>
        <v>10395.32</v>
      </c>
      <c r="P559" s="10" t="n">
        <f aca="false">IFERROR(O559/N559,0)</f>
        <v>0.561423633614172</v>
      </c>
      <c r="Q559" s="7" t="str">
        <f aca="false">TEXT(B559,"mmm")</f>
        <v>Sep</v>
      </c>
      <c r="R559" s="7" t="str">
        <f aca="false">TEXT(B559,"yyyy-mm")</f>
        <v>2024-09</v>
      </c>
    </row>
    <row r="560" customFormat="false" ht="15" hidden="false" customHeight="false" outlineLevel="0" collapsed="false">
      <c r="A560" s="7" t="s">
        <v>1171</v>
      </c>
      <c r="B560" s="7" t="s">
        <v>862</v>
      </c>
      <c r="C560" s="7" t="s">
        <v>284</v>
      </c>
      <c r="D560" s="7" t="s">
        <v>140</v>
      </c>
      <c r="E560" s="7" t="s">
        <v>141</v>
      </c>
      <c r="F560" s="7" t="s">
        <v>57</v>
      </c>
      <c r="G560" s="7" t="s">
        <v>65</v>
      </c>
      <c r="H560" s="7" t="s">
        <v>217</v>
      </c>
      <c r="I560" s="7" t="s">
        <v>51</v>
      </c>
      <c r="J560" s="7" t="n">
        <v>1</v>
      </c>
      <c r="K560" s="8" t="n">
        <v>1440</v>
      </c>
      <c r="L560" s="9" t="n">
        <v>0.15</v>
      </c>
      <c r="M560" s="8" t="n">
        <v>970.39</v>
      </c>
      <c r="N560" s="8" t="n">
        <f aca="false">J560*K560*(1-L560)</f>
        <v>1224</v>
      </c>
      <c r="O560" s="8" t="n">
        <f aca="false">N560-M560</f>
        <v>253.61</v>
      </c>
      <c r="P560" s="10" t="n">
        <f aca="false">IFERROR(O560/N560,0)</f>
        <v>0.207197712418301</v>
      </c>
      <c r="Q560" s="7" t="str">
        <f aca="false">TEXT(B560,"mmm")</f>
        <v>Jun</v>
      </c>
      <c r="R560" s="7" t="str">
        <f aca="false">TEXT(B560,"yyyy-mm")</f>
        <v>2024-06</v>
      </c>
    </row>
    <row r="561" customFormat="false" ht="15" hidden="false" customHeight="false" outlineLevel="0" collapsed="false">
      <c r="A561" s="7" t="s">
        <v>1172</v>
      </c>
      <c r="B561" s="7" t="s">
        <v>531</v>
      </c>
      <c r="C561" s="7" t="s">
        <v>751</v>
      </c>
      <c r="D561" s="7" t="s">
        <v>206</v>
      </c>
      <c r="E561" s="7" t="s">
        <v>207</v>
      </c>
      <c r="F561" s="7" t="s">
        <v>88</v>
      </c>
      <c r="G561" s="7" t="s">
        <v>65</v>
      </c>
      <c r="H561" s="7" t="s">
        <v>66</v>
      </c>
      <c r="I561" s="7" t="s">
        <v>75</v>
      </c>
      <c r="J561" s="7" t="n">
        <v>5</v>
      </c>
      <c r="K561" s="8" t="n">
        <v>1029</v>
      </c>
      <c r="L561" s="9" t="n">
        <v>0.15</v>
      </c>
      <c r="M561" s="8" t="n">
        <v>3143.1</v>
      </c>
      <c r="N561" s="8" t="n">
        <f aca="false">J561*K561*(1-L561)</f>
        <v>4373.25</v>
      </c>
      <c r="O561" s="8" t="n">
        <f aca="false">N561-M561</f>
        <v>1230.15</v>
      </c>
      <c r="P561" s="10" t="n">
        <f aca="false">IFERROR(O561/N561,0)</f>
        <v>0.281289658720631</v>
      </c>
      <c r="Q561" s="7" t="str">
        <f aca="false">TEXT(B561,"mmm")</f>
        <v>Jan</v>
      </c>
      <c r="R561" s="7" t="str">
        <f aca="false">TEXT(B561,"yyyy-mm")</f>
        <v>2024-01</v>
      </c>
    </row>
    <row r="562" customFormat="false" ht="15" hidden="false" customHeight="false" outlineLevel="0" collapsed="false">
      <c r="A562" s="7" t="s">
        <v>1173</v>
      </c>
      <c r="B562" s="7" t="s">
        <v>675</v>
      </c>
      <c r="C562" s="7" t="s">
        <v>941</v>
      </c>
      <c r="D562" s="7" t="s">
        <v>287</v>
      </c>
      <c r="E562" s="7" t="s">
        <v>288</v>
      </c>
      <c r="F562" s="7" t="s">
        <v>72</v>
      </c>
      <c r="G562" s="7" t="s">
        <v>81</v>
      </c>
      <c r="H562" s="7" t="s">
        <v>109</v>
      </c>
      <c r="I562" s="7" t="s">
        <v>51</v>
      </c>
      <c r="J562" s="7" t="n">
        <v>4</v>
      </c>
      <c r="K562" s="8" t="n">
        <v>1049</v>
      </c>
      <c r="L562" s="9" t="n">
        <v>0</v>
      </c>
      <c r="M562" s="8" t="n">
        <v>2648.08</v>
      </c>
      <c r="N562" s="8" t="n">
        <f aca="false">J562*K562*(1-L562)</f>
        <v>4196</v>
      </c>
      <c r="O562" s="8" t="n">
        <f aca="false">N562-M562</f>
        <v>1547.92</v>
      </c>
      <c r="P562" s="10" t="n">
        <f aca="false">IFERROR(O562/N562,0)</f>
        <v>0.368903717826501</v>
      </c>
      <c r="Q562" s="7" t="str">
        <f aca="false">TEXT(B562,"mmm")</f>
        <v>Mar</v>
      </c>
      <c r="R562" s="7" t="str">
        <f aca="false">TEXT(B562,"yyyy-mm")</f>
        <v>2024-03</v>
      </c>
    </row>
    <row r="563" customFormat="false" ht="15" hidden="false" customHeight="false" outlineLevel="0" collapsed="false">
      <c r="A563" s="7" t="s">
        <v>1174</v>
      </c>
      <c r="B563" s="7" t="s">
        <v>669</v>
      </c>
      <c r="C563" s="7" t="s">
        <v>108</v>
      </c>
      <c r="D563" s="7" t="s">
        <v>135</v>
      </c>
      <c r="E563" s="7" t="s">
        <v>136</v>
      </c>
      <c r="F563" s="7" t="s">
        <v>72</v>
      </c>
      <c r="G563" s="7" t="s">
        <v>65</v>
      </c>
      <c r="H563" s="7" t="s">
        <v>106</v>
      </c>
      <c r="I563" s="7" t="s">
        <v>51</v>
      </c>
      <c r="J563" s="7" t="n">
        <v>6</v>
      </c>
      <c r="K563" s="8" t="n">
        <v>7029</v>
      </c>
      <c r="L563" s="9" t="n">
        <v>0.2</v>
      </c>
      <c r="M563" s="8" t="n">
        <v>20922.06</v>
      </c>
      <c r="N563" s="8" t="n">
        <f aca="false">J563*K563*(1-L563)</f>
        <v>33739.2</v>
      </c>
      <c r="O563" s="8" t="n">
        <f aca="false">N563-M563</f>
        <v>12817.14</v>
      </c>
      <c r="P563" s="10" t="n">
        <f aca="false">IFERROR(O563/N563,0)</f>
        <v>0.379888675487267</v>
      </c>
      <c r="Q563" s="7" t="str">
        <f aca="false">TEXT(B563,"mmm")</f>
        <v>Apr</v>
      </c>
      <c r="R563" s="7" t="str">
        <f aca="false">TEXT(B563,"yyyy-mm")</f>
        <v>2024-04</v>
      </c>
    </row>
    <row r="564" customFormat="false" ht="15" hidden="false" customHeight="false" outlineLevel="0" collapsed="false">
      <c r="A564" s="7" t="s">
        <v>1175</v>
      </c>
      <c r="B564" s="7" t="s">
        <v>283</v>
      </c>
      <c r="C564" s="7" t="s">
        <v>180</v>
      </c>
      <c r="D564" s="7" t="s">
        <v>119</v>
      </c>
      <c r="E564" s="7" t="s">
        <v>120</v>
      </c>
      <c r="F564" s="7" t="s">
        <v>88</v>
      </c>
      <c r="G564" s="7" t="s">
        <v>65</v>
      </c>
      <c r="H564" s="7" t="s">
        <v>106</v>
      </c>
      <c r="I564" s="7" t="s">
        <v>51</v>
      </c>
      <c r="J564" s="7" t="n">
        <v>4</v>
      </c>
      <c r="K564" s="8" t="n">
        <v>620</v>
      </c>
      <c r="L564" s="9" t="n">
        <v>0</v>
      </c>
      <c r="M564" s="8" t="n">
        <v>1818.2</v>
      </c>
      <c r="N564" s="8" t="n">
        <f aca="false">J564*K564*(1-L564)</f>
        <v>2480</v>
      </c>
      <c r="O564" s="8" t="n">
        <f aca="false">N564-M564</f>
        <v>661.8</v>
      </c>
      <c r="P564" s="10" t="n">
        <f aca="false">IFERROR(O564/N564,0)</f>
        <v>0.266854838709677</v>
      </c>
      <c r="Q564" s="7" t="str">
        <f aca="false">TEXT(B564,"mmm")</f>
        <v>Dec</v>
      </c>
      <c r="R564" s="7" t="str">
        <f aca="false">TEXT(B564,"yyyy-mm")</f>
        <v>2024-12</v>
      </c>
    </row>
    <row r="565" customFormat="false" ht="15" hidden="false" customHeight="false" outlineLevel="0" collapsed="false">
      <c r="A565" s="7" t="s">
        <v>1176</v>
      </c>
      <c r="B565" s="7" t="s">
        <v>867</v>
      </c>
      <c r="C565" s="7" t="s">
        <v>556</v>
      </c>
      <c r="D565" s="7" t="s">
        <v>244</v>
      </c>
      <c r="E565" s="7" t="s">
        <v>245</v>
      </c>
      <c r="F565" s="7" t="s">
        <v>88</v>
      </c>
      <c r="G565" s="7" t="s">
        <v>81</v>
      </c>
      <c r="H565" s="7" t="s">
        <v>109</v>
      </c>
      <c r="I565" s="7" t="s">
        <v>51</v>
      </c>
      <c r="J565" s="7" t="n">
        <v>1</v>
      </c>
      <c r="K565" s="8" t="n">
        <v>5319</v>
      </c>
      <c r="L565" s="9" t="n">
        <v>0.1</v>
      </c>
      <c r="M565" s="8" t="n">
        <v>3085.83</v>
      </c>
      <c r="N565" s="8" t="n">
        <f aca="false">J565*K565*(1-L565)</f>
        <v>4787.1</v>
      </c>
      <c r="O565" s="8" t="n">
        <f aca="false">N565-M565</f>
        <v>1701.27</v>
      </c>
      <c r="P565" s="10" t="n">
        <f aca="false">IFERROR(O565/N565,0)</f>
        <v>0.355386350817823</v>
      </c>
      <c r="Q565" s="7" t="str">
        <f aca="false">TEXT(B565,"mmm")</f>
        <v>Jul</v>
      </c>
      <c r="R565" s="7" t="str">
        <f aca="false">TEXT(B565,"yyyy-mm")</f>
        <v>2024-07</v>
      </c>
    </row>
    <row r="566" customFormat="false" ht="15" hidden="false" customHeight="false" outlineLevel="0" collapsed="false">
      <c r="A566" s="7" t="s">
        <v>1177</v>
      </c>
      <c r="B566" s="7" t="s">
        <v>1178</v>
      </c>
      <c r="C566" s="7" t="s">
        <v>359</v>
      </c>
      <c r="D566" s="7" t="s">
        <v>197</v>
      </c>
      <c r="E566" s="7" t="s">
        <v>198</v>
      </c>
      <c r="F566" s="7" t="s">
        <v>64</v>
      </c>
      <c r="G566" s="7" t="s">
        <v>81</v>
      </c>
      <c r="H566" s="7" t="s">
        <v>237</v>
      </c>
      <c r="I566" s="7" t="s">
        <v>51</v>
      </c>
      <c r="J566" s="7" t="n">
        <v>4</v>
      </c>
      <c r="K566" s="8" t="n">
        <v>2910</v>
      </c>
      <c r="L566" s="9" t="n">
        <v>0.05</v>
      </c>
      <c r="M566" s="8" t="n">
        <v>5360.64</v>
      </c>
      <c r="N566" s="8" t="n">
        <f aca="false">J566*K566*(1-L566)</f>
        <v>11058</v>
      </c>
      <c r="O566" s="8" t="n">
        <f aca="false">N566-M566</f>
        <v>5697.36</v>
      </c>
      <c r="P566" s="10" t="n">
        <f aca="false">IFERROR(O566/N566,0)</f>
        <v>0.515225176342919</v>
      </c>
      <c r="Q566" s="7" t="str">
        <f aca="false">TEXT(B566,"mmm")</f>
        <v>Sep</v>
      </c>
      <c r="R566" s="7" t="str">
        <f aca="false">TEXT(B566,"yyyy-mm")</f>
        <v>2024-09</v>
      </c>
    </row>
    <row r="567" customFormat="false" ht="15" hidden="false" customHeight="false" outlineLevel="0" collapsed="false">
      <c r="A567" s="7" t="s">
        <v>1179</v>
      </c>
      <c r="B567" s="7" t="s">
        <v>609</v>
      </c>
      <c r="C567" s="7" t="s">
        <v>129</v>
      </c>
      <c r="D567" s="7" t="s">
        <v>295</v>
      </c>
      <c r="E567" s="7" t="s">
        <v>296</v>
      </c>
      <c r="F567" s="7" t="s">
        <v>64</v>
      </c>
      <c r="G567" s="7" t="s">
        <v>65</v>
      </c>
      <c r="H567" s="7" t="s">
        <v>126</v>
      </c>
      <c r="I567" s="7" t="s">
        <v>51</v>
      </c>
      <c r="J567" s="7" t="n">
        <v>5</v>
      </c>
      <c r="K567" s="8" t="n">
        <v>1249</v>
      </c>
      <c r="L567" s="9" t="n">
        <v>0.25</v>
      </c>
      <c r="M567" s="8" t="n">
        <v>4586.55</v>
      </c>
      <c r="N567" s="8" t="n">
        <f aca="false">J567*K567*(1-L567)</f>
        <v>4683.75</v>
      </c>
      <c r="O567" s="8" t="n">
        <f aca="false">N567-M567</f>
        <v>97.1999999999998</v>
      </c>
      <c r="P567" s="10" t="n">
        <f aca="false">IFERROR(O567/N567,0)</f>
        <v>0.0207526020816653</v>
      </c>
      <c r="Q567" s="7" t="str">
        <f aca="false">TEXT(B567,"mmm")</f>
        <v>Sep</v>
      </c>
      <c r="R567" s="7" t="str">
        <f aca="false">TEXT(B567,"yyyy-mm")</f>
        <v>2024-09</v>
      </c>
    </row>
    <row r="568" customFormat="false" ht="15" hidden="false" customHeight="false" outlineLevel="0" collapsed="false">
      <c r="A568" s="7" t="s">
        <v>1180</v>
      </c>
      <c r="B568" s="7" t="s">
        <v>138</v>
      </c>
      <c r="C568" s="7" t="s">
        <v>535</v>
      </c>
      <c r="D568" s="7" t="s">
        <v>326</v>
      </c>
      <c r="E568" s="7" t="s">
        <v>327</v>
      </c>
      <c r="F568" s="7" t="s">
        <v>57</v>
      </c>
      <c r="G568" s="7" t="s">
        <v>65</v>
      </c>
      <c r="H568" s="7" t="s">
        <v>66</v>
      </c>
      <c r="I568" s="7" t="s">
        <v>51</v>
      </c>
      <c r="J568" s="7" t="n">
        <v>4</v>
      </c>
      <c r="K568" s="8" t="n">
        <v>5950</v>
      </c>
      <c r="L568" s="9" t="n">
        <v>0.1</v>
      </c>
      <c r="M568" s="8" t="n">
        <v>9667.76</v>
      </c>
      <c r="N568" s="8" t="n">
        <f aca="false">J568*K568*(1-L568)</f>
        <v>21420</v>
      </c>
      <c r="O568" s="8" t="n">
        <f aca="false">N568-M568</f>
        <v>11752.24</v>
      </c>
      <c r="P568" s="10" t="n">
        <f aca="false">IFERROR(O568/N568,0)</f>
        <v>0.548657329598506</v>
      </c>
      <c r="Q568" s="7" t="str">
        <f aca="false">TEXT(B568,"mmm")</f>
        <v>Jan</v>
      </c>
      <c r="R568" s="7" t="str">
        <f aca="false">TEXT(B568,"yyyy-mm")</f>
        <v>2024-01</v>
      </c>
    </row>
    <row r="569" customFormat="false" ht="15" hidden="false" customHeight="false" outlineLevel="0" collapsed="false">
      <c r="A569" s="7" t="s">
        <v>1181</v>
      </c>
      <c r="B569" s="7" t="s">
        <v>1182</v>
      </c>
      <c r="C569" s="7" t="s">
        <v>330</v>
      </c>
      <c r="D569" s="7" t="s">
        <v>113</v>
      </c>
      <c r="E569" s="7" t="s">
        <v>114</v>
      </c>
      <c r="F569" s="7" t="s">
        <v>57</v>
      </c>
      <c r="G569" s="7" t="s">
        <v>65</v>
      </c>
      <c r="H569" s="7" t="s">
        <v>126</v>
      </c>
      <c r="I569" s="7" t="s">
        <v>75</v>
      </c>
      <c r="J569" s="7" t="n">
        <v>2</v>
      </c>
      <c r="K569" s="8" t="n">
        <v>3069</v>
      </c>
      <c r="L569" s="9" t="n">
        <v>0</v>
      </c>
      <c r="M569" s="8" t="n">
        <v>4584.16</v>
      </c>
      <c r="N569" s="8" t="n">
        <f aca="false">J569*K569*(1-L569)</f>
        <v>6138</v>
      </c>
      <c r="O569" s="8" t="n">
        <f aca="false">N569-M569</f>
        <v>1553.84</v>
      </c>
      <c r="P569" s="10" t="n">
        <f aca="false">IFERROR(O569/N569,0)</f>
        <v>0.253150863473444</v>
      </c>
      <c r="Q569" s="7" t="str">
        <f aca="false">TEXT(B569,"mmm")</f>
        <v>Mar</v>
      </c>
      <c r="R569" s="7" t="str">
        <f aca="false">TEXT(B569,"yyyy-mm")</f>
        <v>2024-03</v>
      </c>
    </row>
    <row r="570" customFormat="false" ht="15" hidden="false" customHeight="false" outlineLevel="0" collapsed="false">
      <c r="A570" s="7" t="s">
        <v>1183</v>
      </c>
      <c r="B570" s="7" t="s">
        <v>188</v>
      </c>
      <c r="C570" s="7" t="s">
        <v>265</v>
      </c>
      <c r="D570" s="7" t="s">
        <v>144</v>
      </c>
      <c r="E570" s="7" t="s">
        <v>145</v>
      </c>
      <c r="F570" s="7" t="s">
        <v>48</v>
      </c>
      <c r="G570" s="7" t="s">
        <v>73</v>
      </c>
      <c r="H570" s="7" t="s">
        <v>74</v>
      </c>
      <c r="I570" s="7" t="s">
        <v>51</v>
      </c>
      <c r="J570" s="7" t="n">
        <v>4</v>
      </c>
      <c r="K570" s="8" t="n">
        <v>5149</v>
      </c>
      <c r="L570" s="9" t="n">
        <v>0.1</v>
      </c>
      <c r="M570" s="8" t="n">
        <v>8689.92</v>
      </c>
      <c r="N570" s="8" t="n">
        <f aca="false">J570*K570*(1-L570)</f>
        <v>18536.4</v>
      </c>
      <c r="O570" s="8" t="n">
        <f aca="false">N570-M570</f>
        <v>9846.48</v>
      </c>
      <c r="P570" s="10" t="n">
        <f aca="false">IFERROR(O570/N570,0)</f>
        <v>0.531196996180488</v>
      </c>
      <c r="Q570" s="7" t="str">
        <f aca="false">TEXT(B570,"mmm")</f>
        <v>Jul</v>
      </c>
      <c r="R570" s="7" t="str">
        <f aca="false">TEXT(B570,"yyyy-mm")</f>
        <v>2024-07</v>
      </c>
    </row>
    <row r="571" customFormat="false" ht="15" hidden="false" customHeight="false" outlineLevel="0" collapsed="false">
      <c r="A571" s="7" t="s">
        <v>1184</v>
      </c>
      <c r="B571" s="7" t="s">
        <v>1163</v>
      </c>
      <c r="C571" s="7" t="s">
        <v>467</v>
      </c>
      <c r="D571" s="7" t="s">
        <v>206</v>
      </c>
      <c r="E571" s="7" t="s">
        <v>207</v>
      </c>
      <c r="F571" s="7" t="s">
        <v>88</v>
      </c>
      <c r="G571" s="7" t="s">
        <v>73</v>
      </c>
      <c r="H571" s="7" t="s">
        <v>211</v>
      </c>
      <c r="I571" s="7" t="s">
        <v>75</v>
      </c>
      <c r="J571" s="7" t="n">
        <v>4</v>
      </c>
      <c r="K571" s="8" t="n">
        <v>1029</v>
      </c>
      <c r="L571" s="9" t="n">
        <v>0.1</v>
      </c>
      <c r="M571" s="8" t="n">
        <v>2514.48</v>
      </c>
      <c r="N571" s="8" t="n">
        <f aca="false">J571*K571*(1-L571)</f>
        <v>3704.4</v>
      </c>
      <c r="O571" s="8" t="n">
        <f aca="false">N571-M571</f>
        <v>1189.92</v>
      </c>
      <c r="P571" s="10" t="n">
        <f aca="false">IFERROR(O571/N571,0)</f>
        <v>0.321218011013929</v>
      </c>
      <c r="Q571" s="7" t="str">
        <f aca="false">TEXT(B571,"mmm")</f>
        <v>Feb</v>
      </c>
      <c r="R571" s="7" t="str">
        <f aca="false">TEXT(B571,"yyyy-mm")</f>
        <v>2024-02</v>
      </c>
    </row>
    <row r="572" customFormat="false" ht="15" hidden="false" customHeight="false" outlineLevel="0" collapsed="false">
      <c r="A572" s="7" t="s">
        <v>1185</v>
      </c>
      <c r="B572" s="7" t="s">
        <v>506</v>
      </c>
      <c r="C572" s="7" t="s">
        <v>281</v>
      </c>
      <c r="D572" s="7" t="s">
        <v>119</v>
      </c>
      <c r="E572" s="7" t="s">
        <v>120</v>
      </c>
      <c r="F572" s="7" t="s">
        <v>88</v>
      </c>
      <c r="G572" s="7" t="s">
        <v>73</v>
      </c>
      <c r="H572" s="7" t="s">
        <v>211</v>
      </c>
      <c r="I572" s="7" t="s">
        <v>75</v>
      </c>
      <c r="J572" s="7" t="n">
        <v>5</v>
      </c>
      <c r="K572" s="8" t="n">
        <v>620</v>
      </c>
      <c r="L572" s="9" t="n">
        <v>0.15</v>
      </c>
      <c r="M572" s="8" t="n">
        <v>2272.75</v>
      </c>
      <c r="N572" s="8" t="n">
        <f aca="false">J572*K572*(1-L572)</f>
        <v>2635</v>
      </c>
      <c r="O572" s="8" t="n">
        <f aca="false">N572-M572</f>
        <v>362.25</v>
      </c>
      <c r="P572" s="10" t="n">
        <f aca="false">IFERROR(O572/N572,0)</f>
        <v>0.137476280834915</v>
      </c>
      <c r="Q572" s="7" t="str">
        <f aca="false">TEXT(B572,"mmm")</f>
        <v>Oct</v>
      </c>
      <c r="R572" s="7" t="str">
        <f aca="false">TEXT(B572,"yyyy-mm")</f>
        <v>2024-10</v>
      </c>
    </row>
    <row r="573" customFormat="false" ht="15" hidden="false" customHeight="false" outlineLevel="0" collapsed="false">
      <c r="A573" s="7" t="s">
        <v>1186</v>
      </c>
      <c r="B573" s="7" t="s">
        <v>309</v>
      </c>
      <c r="C573" s="7" t="s">
        <v>593</v>
      </c>
      <c r="D573" s="7" t="s">
        <v>70</v>
      </c>
      <c r="E573" s="7" t="s">
        <v>71</v>
      </c>
      <c r="F573" s="7" t="s">
        <v>72</v>
      </c>
      <c r="G573" s="7" t="s">
        <v>49</v>
      </c>
      <c r="H573" s="7" t="s">
        <v>172</v>
      </c>
      <c r="I573" s="7" t="s">
        <v>51</v>
      </c>
      <c r="J573" s="7" t="n">
        <v>8</v>
      </c>
      <c r="K573" s="8" t="n">
        <v>3059</v>
      </c>
      <c r="L573" s="9" t="n">
        <v>0.25</v>
      </c>
      <c r="M573" s="8" t="n">
        <v>12851.68</v>
      </c>
      <c r="N573" s="8" t="n">
        <f aca="false">J573*K573*(1-L573)</f>
        <v>18354</v>
      </c>
      <c r="O573" s="8" t="n">
        <f aca="false">N573-M573</f>
        <v>5502.32</v>
      </c>
      <c r="P573" s="10" t="n">
        <f aca="false">IFERROR(O573/N573,0)</f>
        <v>0.299788601939632</v>
      </c>
      <c r="Q573" s="7" t="str">
        <f aca="false">TEXT(B573,"mmm")</f>
        <v>Oct</v>
      </c>
      <c r="R573" s="7" t="str">
        <f aca="false">TEXT(B573,"yyyy-mm")</f>
        <v>2024-10</v>
      </c>
    </row>
    <row r="574" customFormat="false" ht="15" hidden="false" customHeight="false" outlineLevel="0" collapsed="false">
      <c r="A574" s="7" t="s">
        <v>1187</v>
      </c>
      <c r="B574" s="7" t="s">
        <v>160</v>
      </c>
      <c r="C574" s="7" t="s">
        <v>284</v>
      </c>
      <c r="D574" s="7" t="s">
        <v>135</v>
      </c>
      <c r="E574" s="7" t="s">
        <v>136</v>
      </c>
      <c r="F574" s="7" t="s">
        <v>72</v>
      </c>
      <c r="G574" s="7" t="s">
        <v>73</v>
      </c>
      <c r="H574" s="7" t="s">
        <v>211</v>
      </c>
      <c r="I574" s="7" t="s">
        <v>75</v>
      </c>
      <c r="J574" s="7" t="n">
        <v>1</v>
      </c>
      <c r="K574" s="8" t="n">
        <v>7029</v>
      </c>
      <c r="L574" s="9" t="n">
        <v>0.15</v>
      </c>
      <c r="M574" s="8" t="n">
        <v>3487.01</v>
      </c>
      <c r="N574" s="8" t="n">
        <f aca="false">J574*K574*(1-L574)</f>
        <v>5974.65</v>
      </c>
      <c r="O574" s="8" t="n">
        <f aca="false">N574-M574</f>
        <v>2487.64</v>
      </c>
      <c r="P574" s="10" t="n">
        <f aca="false">IFERROR(O574/N574,0)</f>
        <v>0.41636581222331</v>
      </c>
      <c r="Q574" s="7" t="str">
        <f aca="false">TEXT(B574,"mmm")</f>
        <v>Jun</v>
      </c>
      <c r="R574" s="7" t="str">
        <f aca="false">TEXT(B574,"yyyy-mm")</f>
        <v>2024-06</v>
      </c>
    </row>
    <row r="575" customFormat="false" ht="15" hidden="false" customHeight="false" outlineLevel="0" collapsed="false">
      <c r="A575" s="7" t="s">
        <v>1188</v>
      </c>
      <c r="B575" s="7" t="s">
        <v>1189</v>
      </c>
      <c r="C575" s="7" t="s">
        <v>118</v>
      </c>
      <c r="D575" s="7" t="s">
        <v>176</v>
      </c>
      <c r="E575" s="7" t="s">
        <v>177</v>
      </c>
      <c r="F575" s="7" t="s">
        <v>72</v>
      </c>
      <c r="G575" s="7" t="s">
        <v>73</v>
      </c>
      <c r="H575" s="7" t="s">
        <v>211</v>
      </c>
      <c r="I575" s="7" t="s">
        <v>75</v>
      </c>
      <c r="J575" s="7" t="n">
        <v>7</v>
      </c>
      <c r="K575" s="8" t="n">
        <v>3969</v>
      </c>
      <c r="L575" s="9" t="n">
        <v>0</v>
      </c>
      <c r="M575" s="8" t="n">
        <v>15035.79</v>
      </c>
      <c r="N575" s="8" t="n">
        <f aca="false">J575*K575*(1-L575)</f>
        <v>27783</v>
      </c>
      <c r="O575" s="8" t="n">
        <f aca="false">N575-M575</f>
        <v>12747.21</v>
      </c>
      <c r="P575" s="10" t="n">
        <f aca="false">IFERROR(O575/N575,0)</f>
        <v>0.458813303099017</v>
      </c>
      <c r="Q575" s="7" t="str">
        <f aca="false">TEXT(B575,"mmm")</f>
        <v>Sep</v>
      </c>
      <c r="R575" s="7" t="str">
        <f aca="false">TEXT(B575,"yyyy-mm")</f>
        <v>2024-09</v>
      </c>
    </row>
    <row r="576" customFormat="false" ht="15" hidden="false" customHeight="false" outlineLevel="0" collapsed="false">
      <c r="A576" s="7" t="s">
        <v>1190</v>
      </c>
      <c r="B576" s="7" t="s">
        <v>1191</v>
      </c>
      <c r="C576" s="7" t="s">
        <v>620</v>
      </c>
      <c r="D576" s="7" t="s">
        <v>343</v>
      </c>
      <c r="E576" s="7" t="s">
        <v>344</v>
      </c>
      <c r="F576" s="7" t="s">
        <v>88</v>
      </c>
      <c r="G576" s="7" t="s">
        <v>73</v>
      </c>
      <c r="H576" s="7" t="s">
        <v>115</v>
      </c>
      <c r="I576" s="7" t="s">
        <v>51</v>
      </c>
      <c r="J576" s="7" t="n">
        <v>2</v>
      </c>
      <c r="K576" s="8" t="n">
        <v>2169</v>
      </c>
      <c r="L576" s="9" t="n">
        <v>0.2</v>
      </c>
      <c r="M576" s="8" t="n">
        <v>2987.8</v>
      </c>
      <c r="N576" s="8" t="n">
        <f aca="false">J576*K576*(1-L576)</f>
        <v>3470.4</v>
      </c>
      <c r="O576" s="8" t="n">
        <f aca="false">N576-M576</f>
        <v>482.6</v>
      </c>
      <c r="P576" s="10" t="n">
        <f aca="false">IFERROR(O576/N576,0)</f>
        <v>0.139061779621946</v>
      </c>
      <c r="Q576" s="7" t="str">
        <f aca="false">TEXT(B576,"mmm")</f>
        <v>Apr</v>
      </c>
      <c r="R576" s="7" t="str">
        <f aca="false">TEXT(B576,"yyyy-mm")</f>
        <v>2024-04</v>
      </c>
    </row>
    <row r="577" customFormat="false" ht="15" hidden="false" customHeight="false" outlineLevel="0" collapsed="false">
      <c r="A577" s="7" t="s">
        <v>1192</v>
      </c>
      <c r="B577" s="7" t="s">
        <v>200</v>
      </c>
      <c r="C577" s="7" t="s">
        <v>1098</v>
      </c>
      <c r="D577" s="7" t="s">
        <v>215</v>
      </c>
      <c r="E577" s="7" t="s">
        <v>216</v>
      </c>
      <c r="F577" s="7" t="s">
        <v>57</v>
      </c>
      <c r="G577" s="7" t="s">
        <v>73</v>
      </c>
      <c r="H577" s="7" t="s">
        <v>266</v>
      </c>
      <c r="I577" s="7" t="s">
        <v>51</v>
      </c>
      <c r="J577" s="7" t="n">
        <v>3</v>
      </c>
      <c r="K577" s="8" t="n">
        <v>3749</v>
      </c>
      <c r="L577" s="9" t="n">
        <v>0</v>
      </c>
      <c r="M577" s="8" t="n">
        <v>8584.77</v>
      </c>
      <c r="N577" s="8" t="n">
        <f aca="false">J577*K577*(1-L577)</f>
        <v>11247</v>
      </c>
      <c r="O577" s="8" t="n">
        <f aca="false">N577-M577</f>
        <v>2662.23</v>
      </c>
      <c r="P577" s="10" t="n">
        <f aca="false">IFERROR(O577/N577,0)</f>
        <v>0.236705788210189</v>
      </c>
      <c r="Q577" s="7" t="str">
        <f aca="false">TEXT(B577,"mmm")</f>
        <v>May</v>
      </c>
      <c r="R577" s="7" t="str">
        <f aca="false">TEXT(B577,"yyyy-mm")</f>
        <v>2024-05</v>
      </c>
    </row>
    <row r="578" customFormat="false" ht="15" hidden="false" customHeight="false" outlineLevel="0" collapsed="false">
      <c r="A578" s="7" t="s">
        <v>1193</v>
      </c>
      <c r="B578" s="7" t="s">
        <v>998</v>
      </c>
      <c r="C578" s="7" t="s">
        <v>419</v>
      </c>
      <c r="D578" s="7" t="s">
        <v>113</v>
      </c>
      <c r="E578" s="7" t="s">
        <v>114</v>
      </c>
      <c r="F578" s="7" t="s">
        <v>57</v>
      </c>
      <c r="G578" s="7" t="s">
        <v>65</v>
      </c>
      <c r="H578" s="7" t="s">
        <v>217</v>
      </c>
      <c r="I578" s="7" t="s">
        <v>75</v>
      </c>
      <c r="J578" s="7" t="n">
        <v>6</v>
      </c>
      <c r="K578" s="8" t="n">
        <v>3069</v>
      </c>
      <c r="L578" s="9" t="n">
        <v>0.1</v>
      </c>
      <c r="M578" s="8" t="n">
        <v>13752.48</v>
      </c>
      <c r="N578" s="8" t="n">
        <f aca="false">J578*K578*(1-L578)</f>
        <v>16572.6</v>
      </c>
      <c r="O578" s="8" t="n">
        <f aca="false">N578-M578</f>
        <v>2820.12</v>
      </c>
      <c r="P578" s="10" t="n">
        <f aca="false">IFERROR(O578/N578,0)</f>
        <v>0.170167626081605</v>
      </c>
      <c r="Q578" s="7" t="str">
        <f aca="false">TEXT(B578,"mmm")</f>
        <v>Dec</v>
      </c>
      <c r="R578" s="7" t="str">
        <f aca="false">TEXT(B578,"yyyy-mm")</f>
        <v>2024-12</v>
      </c>
    </row>
    <row r="579" customFormat="false" ht="15" hidden="false" customHeight="false" outlineLevel="0" collapsed="false">
      <c r="A579" s="7" t="s">
        <v>1194</v>
      </c>
      <c r="B579" s="7" t="s">
        <v>890</v>
      </c>
      <c r="C579" s="7" t="s">
        <v>69</v>
      </c>
      <c r="D579" s="7" t="s">
        <v>140</v>
      </c>
      <c r="E579" s="7" t="s">
        <v>141</v>
      </c>
      <c r="F579" s="7" t="s">
        <v>57</v>
      </c>
      <c r="G579" s="7" t="s">
        <v>81</v>
      </c>
      <c r="H579" s="7" t="s">
        <v>186</v>
      </c>
      <c r="I579" s="7" t="s">
        <v>75</v>
      </c>
      <c r="J579" s="7" t="n">
        <v>2</v>
      </c>
      <c r="K579" s="8" t="n">
        <v>1440</v>
      </c>
      <c r="L579" s="9" t="n">
        <v>0.05</v>
      </c>
      <c r="M579" s="8" t="n">
        <v>1940.78</v>
      </c>
      <c r="N579" s="8" t="n">
        <f aca="false">J579*K579*(1-L579)</f>
        <v>2736</v>
      </c>
      <c r="O579" s="8" t="n">
        <f aca="false">N579-M579</f>
        <v>795.22</v>
      </c>
      <c r="P579" s="10" t="n">
        <f aca="false">IFERROR(O579/N579,0)</f>
        <v>0.290650584795322</v>
      </c>
      <c r="Q579" s="7" t="str">
        <f aca="false">TEXT(B579,"mmm")</f>
        <v>Apr</v>
      </c>
      <c r="R579" s="7" t="str">
        <f aca="false">TEXT(B579,"yyyy-mm")</f>
        <v>2024-04</v>
      </c>
    </row>
    <row r="580" customFormat="false" ht="15" hidden="false" customHeight="false" outlineLevel="0" collapsed="false">
      <c r="A580" s="7" t="s">
        <v>1195</v>
      </c>
      <c r="B580" s="7" t="s">
        <v>174</v>
      </c>
      <c r="C580" s="7" t="s">
        <v>61</v>
      </c>
      <c r="D580" s="7" t="s">
        <v>343</v>
      </c>
      <c r="E580" s="7" t="s">
        <v>344</v>
      </c>
      <c r="F580" s="7" t="s">
        <v>88</v>
      </c>
      <c r="G580" s="7" t="s">
        <v>49</v>
      </c>
      <c r="H580" s="7" t="s">
        <v>58</v>
      </c>
      <c r="I580" s="7" t="s">
        <v>51</v>
      </c>
      <c r="J580" s="7" t="n">
        <v>5</v>
      </c>
      <c r="K580" s="8" t="n">
        <v>2169</v>
      </c>
      <c r="L580" s="9" t="n">
        <v>0</v>
      </c>
      <c r="M580" s="8" t="n">
        <v>7469.5</v>
      </c>
      <c r="N580" s="8" t="n">
        <f aca="false">J580*K580*(1-L580)</f>
        <v>10845</v>
      </c>
      <c r="O580" s="8" t="n">
        <f aca="false">N580-M580</f>
        <v>3375.5</v>
      </c>
      <c r="P580" s="10" t="n">
        <f aca="false">IFERROR(O580/N580,0)</f>
        <v>0.311249423697557</v>
      </c>
      <c r="Q580" s="7" t="str">
        <f aca="false">TEXT(B580,"mmm")</f>
        <v>Nov</v>
      </c>
      <c r="R580" s="7" t="str">
        <f aca="false">TEXT(B580,"yyyy-mm")</f>
        <v>2024-11</v>
      </c>
    </row>
    <row r="581" customFormat="false" ht="15" hidden="false" customHeight="false" outlineLevel="0" collapsed="false">
      <c r="A581" s="7" t="s">
        <v>1196</v>
      </c>
      <c r="B581" s="7" t="s">
        <v>749</v>
      </c>
      <c r="C581" s="7" t="s">
        <v>451</v>
      </c>
      <c r="D581" s="7" t="s">
        <v>140</v>
      </c>
      <c r="E581" s="7" t="s">
        <v>141</v>
      </c>
      <c r="F581" s="7" t="s">
        <v>57</v>
      </c>
      <c r="G581" s="7" t="s">
        <v>49</v>
      </c>
      <c r="H581" s="7" t="s">
        <v>58</v>
      </c>
      <c r="I581" s="7" t="s">
        <v>51</v>
      </c>
      <c r="J581" s="7" t="n">
        <v>4</v>
      </c>
      <c r="K581" s="8" t="n">
        <v>1440</v>
      </c>
      <c r="L581" s="9" t="n">
        <v>0.05</v>
      </c>
      <c r="M581" s="8" t="n">
        <v>3881.56</v>
      </c>
      <c r="N581" s="8" t="n">
        <f aca="false">J581*K581*(1-L581)</f>
        <v>5472</v>
      </c>
      <c r="O581" s="8" t="n">
        <f aca="false">N581-M581</f>
        <v>1590.44</v>
      </c>
      <c r="P581" s="10" t="n">
        <f aca="false">IFERROR(O581/N581,0)</f>
        <v>0.290650584795322</v>
      </c>
      <c r="Q581" s="7" t="str">
        <f aca="false">TEXT(B581,"mmm")</f>
        <v>Dec</v>
      </c>
      <c r="R581" s="7" t="str">
        <f aca="false">TEXT(B581,"yyyy-mm")</f>
        <v>2024-12</v>
      </c>
    </row>
    <row r="582" customFormat="false" ht="15" hidden="false" customHeight="false" outlineLevel="0" collapsed="false">
      <c r="A582" s="7" t="s">
        <v>1197</v>
      </c>
      <c r="B582" s="7" t="s">
        <v>1198</v>
      </c>
      <c r="C582" s="7" t="s">
        <v>91</v>
      </c>
      <c r="D582" s="7" t="s">
        <v>360</v>
      </c>
      <c r="E582" s="7" t="s">
        <v>361</v>
      </c>
      <c r="F582" s="7" t="s">
        <v>48</v>
      </c>
      <c r="G582" s="7" t="s">
        <v>81</v>
      </c>
      <c r="H582" s="7" t="s">
        <v>237</v>
      </c>
      <c r="I582" s="7" t="s">
        <v>51</v>
      </c>
      <c r="J582" s="7" t="n">
        <v>5</v>
      </c>
      <c r="K582" s="8" t="n">
        <v>679</v>
      </c>
      <c r="L582" s="9" t="n">
        <v>0</v>
      </c>
      <c r="M582" s="8" t="n">
        <v>2303.5</v>
      </c>
      <c r="N582" s="8" t="n">
        <f aca="false">J582*K582*(1-L582)</f>
        <v>3395</v>
      </c>
      <c r="O582" s="8" t="n">
        <f aca="false">N582-M582</f>
        <v>1091.5</v>
      </c>
      <c r="P582" s="10" t="n">
        <f aca="false">IFERROR(O582/N582,0)</f>
        <v>0.321502209131075</v>
      </c>
      <c r="Q582" s="7" t="str">
        <f aca="false">TEXT(B582,"mmm")</f>
        <v>Sep</v>
      </c>
      <c r="R582" s="7" t="str">
        <f aca="false">TEXT(B582,"yyyy-mm")</f>
        <v>2024-09</v>
      </c>
    </row>
    <row r="583" customFormat="false" ht="15" hidden="false" customHeight="false" outlineLevel="0" collapsed="false">
      <c r="A583" s="7" t="s">
        <v>1199</v>
      </c>
      <c r="B583" s="7" t="s">
        <v>1200</v>
      </c>
      <c r="C583" s="7" t="s">
        <v>566</v>
      </c>
      <c r="D583" s="7" t="s">
        <v>79</v>
      </c>
      <c r="E583" s="7" t="s">
        <v>80</v>
      </c>
      <c r="F583" s="7" t="s">
        <v>72</v>
      </c>
      <c r="G583" s="7" t="s">
        <v>49</v>
      </c>
      <c r="H583" s="7" t="s">
        <v>50</v>
      </c>
      <c r="I583" s="7" t="s">
        <v>51</v>
      </c>
      <c r="J583" s="7" t="n">
        <v>2</v>
      </c>
      <c r="K583" s="8" t="n">
        <v>4769</v>
      </c>
      <c r="L583" s="9" t="n">
        <v>0.25</v>
      </c>
      <c r="M583" s="8" t="n">
        <v>5449.62</v>
      </c>
      <c r="N583" s="8" t="n">
        <f aca="false">J583*K583*(1-L583)</f>
        <v>7153.5</v>
      </c>
      <c r="O583" s="8" t="n">
        <f aca="false">N583-M583</f>
        <v>1703.88</v>
      </c>
      <c r="P583" s="10" t="n">
        <f aca="false">IFERROR(O583/N583,0)</f>
        <v>0.238188299433844</v>
      </c>
      <c r="Q583" s="7" t="str">
        <f aca="false">TEXT(B583,"mmm")</f>
        <v>May</v>
      </c>
      <c r="R583" s="7" t="str">
        <f aca="false">TEXT(B583,"yyyy-mm")</f>
        <v>2024-05</v>
      </c>
    </row>
    <row r="584" customFormat="false" ht="15" hidden="false" customHeight="false" outlineLevel="0" collapsed="false">
      <c r="A584" s="7" t="s">
        <v>1201</v>
      </c>
      <c r="B584" s="7" t="s">
        <v>829</v>
      </c>
      <c r="C584" s="7" t="s">
        <v>294</v>
      </c>
      <c r="D584" s="7" t="s">
        <v>326</v>
      </c>
      <c r="E584" s="7" t="s">
        <v>327</v>
      </c>
      <c r="F584" s="7" t="s">
        <v>57</v>
      </c>
      <c r="G584" s="7" t="s">
        <v>73</v>
      </c>
      <c r="H584" s="7" t="s">
        <v>211</v>
      </c>
      <c r="I584" s="7" t="s">
        <v>51</v>
      </c>
      <c r="J584" s="7" t="n">
        <v>4</v>
      </c>
      <c r="K584" s="8" t="n">
        <v>5950</v>
      </c>
      <c r="L584" s="9" t="n">
        <v>0.2</v>
      </c>
      <c r="M584" s="8" t="n">
        <v>9667.76</v>
      </c>
      <c r="N584" s="8" t="n">
        <f aca="false">J584*K584*(1-L584)</f>
        <v>19040</v>
      </c>
      <c r="O584" s="8" t="n">
        <f aca="false">N584-M584</f>
        <v>9372.24</v>
      </c>
      <c r="P584" s="10" t="n">
        <f aca="false">IFERROR(O584/N584,0)</f>
        <v>0.492239495798319</v>
      </c>
      <c r="Q584" s="7" t="str">
        <f aca="false">TEXT(B584,"mmm")</f>
        <v>Jan</v>
      </c>
      <c r="R584" s="7" t="str">
        <f aca="false">TEXT(B584,"yyyy-mm")</f>
        <v>2024-01</v>
      </c>
    </row>
    <row r="585" customFormat="false" ht="15" hidden="false" customHeight="false" outlineLevel="0" collapsed="false">
      <c r="A585" s="7" t="s">
        <v>1202</v>
      </c>
      <c r="B585" s="7" t="s">
        <v>982</v>
      </c>
      <c r="C585" s="7" t="s">
        <v>1203</v>
      </c>
      <c r="D585" s="7" t="s">
        <v>104</v>
      </c>
      <c r="E585" s="7" t="s">
        <v>105</v>
      </c>
      <c r="F585" s="7" t="s">
        <v>48</v>
      </c>
      <c r="G585" s="7" t="s">
        <v>81</v>
      </c>
      <c r="H585" s="7" t="s">
        <v>237</v>
      </c>
      <c r="I585" s="7" t="s">
        <v>51</v>
      </c>
      <c r="J585" s="7" t="n">
        <v>2</v>
      </c>
      <c r="K585" s="8" t="n">
        <v>2000</v>
      </c>
      <c r="L585" s="9" t="n">
        <v>0</v>
      </c>
      <c r="M585" s="8" t="n">
        <v>1742.6</v>
      </c>
      <c r="N585" s="8" t="n">
        <f aca="false">J585*K585*(1-L585)</f>
        <v>4000</v>
      </c>
      <c r="O585" s="8" t="n">
        <f aca="false">N585-M585</f>
        <v>2257.4</v>
      </c>
      <c r="P585" s="10" t="n">
        <f aca="false">IFERROR(O585/N585,0)</f>
        <v>0.56435</v>
      </c>
      <c r="Q585" s="7" t="str">
        <f aca="false">TEXT(B585,"mmm")</f>
        <v>Mar</v>
      </c>
      <c r="R585" s="7" t="str">
        <f aca="false">TEXT(B585,"yyyy-mm")</f>
        <v>2024-03</v>
      </c>
    </row>
    <row r="586" customFormat="false" ht="15" hidden="false" customHeight="false" outlineLevel="0" collapsed="false">
      <c r="A586" s="7" t="s">
        <v>1204</v>
      </c>
      <c r="B586" s="7" t="s">
        <v>1205</v>
      </c>
      <c r="C586" s="7" t="s">
        <v>728</v>
      </c>
      <c r="D586" s="7" t="s">
        <v>459</v>
      </c>
      <c r="E586" s="7" t="s">
        <v>460</v>
      </c>
      <c r="F586" s="7" t="s">
        <v>64</v>
      </c>
      <c r="G586" s="7" t="s">
        <v>73</v>
      </c>
      <c r="H586" s="7" t="s">
        <v>115</v>
      </c>
      <c r="I586" s="7" t="s">
        <v>51</v>
      </c>
      <c r="J586" s="7" t="n">
        <v>6</v>
      </c>
      <c r="K586" s="8" t="n">
        <v>1520</v>
      </c>
      <c r="L586" s="9" t="n">
        <v>0.1</v>
      </c>
      <c r="M586" s="8" t="n">
        <v>5314.26</v>
      </c>
      <c r="N586" s="8" t="n">
        <f aca="false">J586*K586*(1-L586)</f>
        <v>8208</v>
      </c>
      <c r="O586" s="8" t="n">
        <f aca="false">N586-M586</f>
        <v>2893.74</v>
      </c>
      <c r="P586" s="10" t="n">
        <f aca="false">IFERROR(O586/N586,0)</f>
        <v>0.352551169590643</v>
      </c>
      <c r="Q586" s="7" t="str">
        <f aca="false">TEXT(B586,"mmm")</f>
        <v>Oct</v>
      </c>
      <c r="R586" s="7" t="str">
        <f aca="false">TEXT(B586,"yyyy-mm")</f>
        <v>2024-10</v>
      </c>
    </row>
    <row r="587" customFormat="false" ht="15" hidden="false" customHeight="false" outlineLevel="0" collapsed="false">
      <c r="A587" s="7" t="s">
        <v>1206</v>
      </c>
      <c r="B587" s="7" t="s">
        <v>1198</v>
      </c>
      <c r="C587" s="7" t="s">
        <v>161</v>
      </c>
      <c r="D587" s="7" t="s">
        <v>62</v>
      </c>
      <c r="E587" s="7" t="s">
        <v>63</v>
      </c>
      <c r="F587" s="7" t="s">
        <v>64</v>
      </c>
      <c r="G587" s="7" t="s">
        <v>49</v>
      </c>
      <c r="H587" s="7" t="s">
        <v>100</v>
      </c>
      <c r="I587" s="7" t="s">
        <v>75</v>
      </c>
      <c r="J587" s="7" t="n">
        <v>6</v>
      </c>
      <c r="K587" s="8" t="n">
        <v>7079</v>
      </c>
      <c r="L587" s="9" t="n">
        <v>0.25</v>
      </c>
      <c r="M587" s="8" t="n">
        <v>16438.68</v>
      </c>
      <c r="N587" s="8" t="n">
        <f aca="false">J587*K587*(1-L587)</f>
        <v>31855.5</v>
      </c>
      <c r="O587" s="8" t="n">
        <f aca="false">N587-M587</f>
        <v>15416.82</v>
      </c>
      <c r="P587" s="10" t="n">
        <f aca="false">IFERROR(O587/N587,0)</f>
        <v>0.483961011442294</v>
      </c>
      <c r="Q587" s="7" t="str">
        <f aca="false">TEXT(B587,"mmm")</f>
        <v>Sep</v>
      </c>
      <c r="R587" s="7" t="str">
        <f aca="false">TEXT(B587,"yyyy-mm")</f>
        <v>2024-09</v>
      </c>
    </row>
    <row r="588" customFormat="false" ht="15" hidden="false" customHeight="false" outlineLevel="0" collapsed="false">
      <c r="A588" s="7" t="s">
        <v>1207</v>
      </c>
      <c r="B588" s="7" t="s">
        <v>334</v>
      </c>
      <c r="C588" s="7" t="s">
        <v>196</v>
      </c>
      <c r="D588" s="7" t="s">
        <v>249</v>
      </c>
      <c r="E588" s="7" t="s">
        <v>250</v>
      </c>
      <c r="F588" s="7" t="s">
        <v>57</v>
      </c>
      <c r="G588" s="7" t="s">
        <v>65</v>
      </c>
      <c r="H588" s="7" t="s">
        <v>217</v>
      </c>
      <c r="I588" s="7" t="s">
        <v>75</v>
      </c>
      <c r="J588" s="7" t="n">
        <v>2</v>
      </c>
      <c r="K588" s="8" t="n">
        <v>1730</v>
      </c>
      <c r="L588" s="9" t="n">
        <v>0.15</v>
      </c>
      <c r="M588" s="8" t="n">
        <v>1764.88</v>
      </c>
      <c r="N588" s="8" t="n">
        <f aca="false">J588*K588*(1-L588)</f>
        <v>2941</v>
      </c>
      <c r="O588" s="8" t="n">
        <f aca="false">N588-M588</f>
        <v>1176.12</v>
      </c>
      <c r="P588" s="10" t="n">
        <f aca="false">IFERROR(O588/N588,0)</f>
        <v>0.399904794287657</v>
      </c>
      <c r="Q588" s="7" t="str">
        <f aca="false">TEXT(B588,"mmm")</f>
        <v>Jun</v>
      </c>
      <c r="R588" s="7" t="str">
        <f aca="false">TEXT(B588,"yyyy-mm")</f>
        <v>2024-06</v>
      </c>
    </row>
    <row r="589" customFormat="false" ht="15" hidden="false" customHeight="false" outlineLevel="0" collapsed="false">
      <c r="A589" s="7" t="s">
        <v>1208</v>
      </c>
      <c r="B589" s="7" t="s">
        <v>585</v>
      </c>
      <c r="C589" s="7" t="s">
        <v>895</v>
      </c>
      <c r="D589" s="7" t="s">
        <v>549</v>
      </c>
      <c r="E589" s="7" t="s">
        <v>550</v>
      </c>
      <c r="F589" s="7" t="s">
        <v>48</v>
      </c>
      <c r="G589" s="7" t="s">
        <v>49</v>
      </c>
      <c r="H589" s="7" t="s">
        <v>172</v>
      </c>
      <c r="I589" s="7" t="s">
        <v>75</v>
      </c>
      <c r="J589" s="7" t="n">
        <v>4</v>
      </c>
      <c r="K589" s="8" t="n">
        <v>3419</v>
      </c>
      <c r="L589" s="9" t="n">
        <v>0.1</v>
      </c>
      <c r="M589" s="8" t="n">
        <v>10041.28</v>
      </c>
      <c r="N589" s="8" t="n">
        <f aca="false">J589*K589*(1-L589)</f>
        <v>12308.4</v>
      </c>
      <c r="O589" s="8" t="n">
        <f aca="false">N589-M589</f>
        <v>2267.12</v>
      </c>
      <c r="P589" s="10" t="n">
        <f aca="false">IFERROR(O589/N589,0)</f>
        <v>0.184192908907738</v>
      </c>
      <c r="Q589" s="7" t="str">
        <f aca="false">TEXT(B589,"mmm")</f>
        <v>Sep</v>
      </c>
      <c r="R589" s="7" t="str">
        <f aca="false">TEXT(B589,"yyyy-mm")</f>
        <v>2024-09</v>
      </c>
    </row>
    <row r="590" customFormat="false" ht="15" hidden="false" customHeight="false" outlineLevel="0" collapsed="false">
      <c r="A590" s="7" t="s">
        <v>1209</v>
      </c>
      <c r="B590" s="7" t="s">
        <v>1210</v>
      </c>
      <c r="C590" s="7" t="s">
        <v>205</v>
      </c>
      <c r="D590" s="7" t="s">
        <v>176</v>
      </c>
      <c r="E590" s="7" t="s">
        <v>177</v>
      </c>
      <c r="F590" s="7" t="s">
        <v>72</v>
      </c>
      <c r="G590" s="7" t="s">
        <v>49</v>
      </c>
      <c r="H590" s="7" t="s">
        <v>172</v>
      </c>
      <c r="I590" s="7" t="s">
        <v>51</v>
      </c>
      <c r="J590" s="7" t="n">
        <v>9</v>
      </c>
      <c r="K590" s="8" t="n">
        <v>3969</v>
      </c>
      <c r="L590" s="9" t="n">
        <v>0</v>
      </c>
      <c r="M590" s="8" t="n">
        <v>19331.73</v>
      </c>
      <c r="N590" s="8" t="n">
        <f aca="false">J590*K590*(1-L590)</f>
        <v>35721</v>
      </c>
      <c r="O590" s="8" t="n">
        <f aca="false">N590-M590</f>
        <v>16389.27</v>
      </c>
      <c r="P590" s="10" t="n">
        <f aca="false">IFERROR(O590/N590,0)</f>
        <v>0.458813303099017</v>
      </c>
      <c r="Q590" s="7" t="str">
        <f aca="false">TEXT(B590,"mmm")</f>
        <v>Feb</v>
      </c>
      <c r="R590" s="7" t="str">
        <f aca="false">TEXT(B590,"yyyy-mm")</f>
        <v>2024-02</v>
      </c>
    </row>
    <row r="591" customFormat="false" ht="15" hidden="false" customHeight="false" outlineLevel="0" collapsed="false">
      <c r="A591" s="7" t="s">
        <v>1211</v>
      </c>
      <c r="B591" s="7" t="s">
        <v>268</v>
      </c>
      <c r="C591" s="7" t="s">
        <v>284</v>
      </c>
      <c r="D591" s="7" t="s">
        <v>201</v>
      </c>
      <c r="E591" s="7" t="s">
        <v>202</v>
      </c>
      <c r="F591" s="7" t="s">
        <v>72</v>
      </c>
      <c r="G591" s="7" t="s">
        <v>73</v>
      </c>
      <c r="H591" s="7" t="s">
        <v>266</v>
      </c>
      <c r="I591" s="7" t="s">
        <v>75</v>
      </c>
      <c r="J591" s="7" t="n">
        <v>8</v>
      </c>
      <c r="K591" s="8" t="n">
        <v>3990</v>
      </c>
      <c r="L591" s="9" t="n">
        <v>0.05</v>
      </c>
      <c r="M591" s="8" t="n">
        <v>24268.88</v>
      </c>
      <c r="N591" s="8" t="n">
        <f aca="false">J591*K591*(1-L591)</f>
        <v>30324</v>
      </c>
      <c r="O591" s="8" t="n">
        <f aca="false">N591-M591</f>
        <v>6055.12</v>
      </c>
      <c r="P591" s="10" t="n">
        <f aca="false">IFERROR(O591/N591,0)</f>
        <v>0.199680780899617</v>
      </c>
      <c r="Q591" s="7" t="str">
        <f aca="false">TEXT(B591,"mmm")</f>
        <v>Nov</v>
      </c>
      <c r="R591" s="7" t="str">
        <f aca="false">TEXT(B591,"yyyy-mm")</f>
        <v>2024-11</v>
      </c>
    </row>
    <row r="592" customFormat="false" ht="15" hidden="false" customHeight="false" outlineLevel="0" collapsed="false">
      <c r="A592" s="7" t="s">
        <v>1212</v>
      </c>
      <c r="B592" s="7" t="s">
        <v>401</v>
      </c>
      <c r="C592" s="7" t="s">
        <v>546</v>
      </c>
      <c r="D592" s="7" t="s">
        <v>140</v>
      </c>
      <c r="E592" s="7" t="s">
        <v>141</v>
      </c>
      <c r="F592" s="7" t="s">
        <v>57</v>
      </c>
      <c r="G592" s="7" t="s">
        <v>49</v>
      </c>
      <c r="H592" s="7" t="s">
        <v>58</v>
      </c>
      <c r="I592" s="7" t="s">
        <v>75</v>
      </c>
      <c r="J592" s="7" t="n">
        <v>4</v>
      </c>
      <c r="K592" s="8" t="n">
        <v>1440</v>
      </c>
      <c r="L592" s="9" t="n">
        <v>0</v>
      </c>
      <c r="M592" s="8" t="n">
        <v>3881.56</v>
      </c>
      <c r="N592" s="8" t="n">
        <f aca="false">J592*K592*(1-L592)</f>
        <v>5760</v>
      </c>
      <c r="O592" s="8" t="n">
        <f aca="false">N592-M592</f>
        <v>1878.44</v>
      </c>
      <c r="P592" s="10" t="n">
        <f aca="false">IFERROR(O592/N592,0)</f>
        <v>0.326118055555556</v>
      </c>
      <c r="Q592" s="7" t="str">
        <f aca="false">TEXT(B592,"mmm")</f>
        <v>Aug</v>
      </c>
      <c r="R592" s="7" t="str">
        <f aca="false">TEXT(B592,"yyyy-mm")</f>
        <v>2024-08</v>
      </c>
    </row>
    <row r="593" customFormat="false" ht="15" hidden="false" customHeight="false" outlineLevel="0" collapsed="false">
      <c r="A593" s="7" t="s">
        <v>1213</v>
      </c>
      <c r="B593" s="7" t="s">
        <v>1097</v>
      </c>
      <c r="C593" s="7" t="s">
        <v>537</v>
      </c>
      <c r="D593" s="7" t="s">
        <v>149</v>
      </c>
      <c r="E593" s="7" t="s">
        <v>150</v>
      </c>
      <c r="F593" s="7" t="s">
        <v>88</v>
      </c>
      <c r="G593" s="7" t="s">
        <v>65</v>
      </c>
      <c r="H593" s="7" t="s">
        <v>126</v>
      </c>
      <c r="I593" s="7" t="s">
        <v>75</v>
      </c>
      <c r="J593" s="7" t="n">
        <v>4</v>
      </c>
      <c r="K593" s="8" t="n">
        <v>5219</v>
      </c>
      <c r="L593" s="9" t="n">
        <v>0.15</v>
      </c>
      <c r="M593" s="8" t="n">
        <v>13964.16</v>
      </c>
      <c r="N593" s="8" t="n">
        <f aca="false">J593*K593*(1-L593)</f>
        <v>17744.6</v>
      </c>
      <c r="O593" s="8" t="n">
        <f aca="false">N593-M593</f>
        <v>3780.44</v>
      </c>
      <c r="P593" s="10" t="n">
        <f aca="false">IFERROR(O593/N593,0)</f>
        <v>0.213047349616221</v>
      </c>
      <c r="Q593" s="7" t="str">
        <f aca="false">TEXT(B593,"mmm")</f>
        <v>Jul</v>
      </c>
      <c r="R593" s="7" t="str">
        <f aca="false">TEXT(B593,"yyyy-mm")</f>
        <v>2024-07</v>
      </c>
    </row>
    <row r="594" customFormat="false" ht="15" hidden="false" customHeight="false" outlineLevel="0" collapsed="false">
      <c r="A594" s="7" t="s">
        <v>1214</v>
      </c>
      <c r="B594" s="7" t="s">
        <v>230</v>
      </c>
      <c r="C594" s="7" t="s">
        <v>99</v>
      </c>
      <c r="D594" s="7" t="s">
        <v>244</v>
      </c>
      <c r="E594" s="7" t="s">
        <v>245</v>
      </c>
      <c r="F594" s="7" t="s">
        <v>88</v>
      </c>
      <c r="G594" s="7" t="s">
        <v>49</v>
      </c>
      <c r="H594" s="7" t="s">
        <v>100</v>
      </c>
      <c r="I594" s="7" t="s">
        <v>51</v>
      </c>
      <c r="J594" s="7" t="n">
        <v>4</v>
      </c>
      <c r="K594" s="8" t="n">
        <v>5319</v>
      </c>
      <c r="L594" s="9" t="n">
        <v>0.15</v>
      </c>
      <c r="M594" s="8" t="n">
        <v>12343.32</v>
      </c>
      <c r="N594" s="8" t="n">
        <f aca="false">J594*K594*(1-L594)</f>
        <v>18084.6</v>
      </c>
      <c r="O594" s="8" t="n">
        <f aca="false">N594-M594</f>
        <v>5741.28</v>
      </c>
      <c r="P594" s="10" t="n">
        <f aca="false">IFERROR(O594/N594,0)</f>
        <v>0.31746790086593</v>
      </c>
      <c r="Q594" s="7" t="str">
        <f aca="false">TEXT(B594,"mmm")</f>
        <v>Sep</v>
      </c>
      <c r="R594" s="7" t="str">
        <f aca="false">TEXT(B594,"yyyy-mm")</f>
        <v>2024-09</v>
      </c>
    </row>
    <row r="595" customFormat="false" ht="15" hidden="false" customHeight="false" outlineLevel="0" collapsed="false">
      <c r="A595" s="7" t="s">
        <v>1215</v>
      </c>
      <c r="B595" s="7" t="s">
        <v>605</v>
      </c>
      <c r="C595" s="7" t="s">
        <v>299</v>
      </c>
      <c r="D595" s="7" t="s">
        <v>162</v>
      </c>
      <c r="E595" s="7" t="s">
        <v>163</v>
      </c>
      <c r="F595" s="7" t="s">
        <v>57</v>
      </c>
      <c r="G595" s="7" t="s">
        <v>73</v>
      </c>
      <c r="H595" s="7" t="s">
        <v>115</v>
      </c>
      <c r="I595" s="7" t="s">
        <v>75</v>
      </c>
      <c r="J595" s="7" t="n">
        <v>6</v>
      </c>
      <c r="K595" s="8" t="n">
        <v>4629</v>
      </c>
      <c r="L595" s="9" t="n">
        <v>0.25</v>
      </c>
      <c r="M595" s="8" t="n">
        <v>12181.02</v>
      </c>
      <c r="N595" s="8" t="n">
        <f aca="false">J595*K595*(1-L595)</f>
        <v>20830.5</v>
      </c>
      <c r="O595" s="8" t="n">
        <f aca="false">N595-M595</f>
        <v>8649.48</v>
      </c>
      <c r="P595" s="10" t="n">
        <f aca="false">IFERROR(O595/N595,0)</f>
        <v>0.415231511485562</v>
      </c>
      <c r="Q595" s="7" t="str">
        <f aca="false">TEXT(B595,"mmm")</f>
        <v>Nov</v>
      </c>
      <c r="R595" s="7" t="str">
        <f aca="false">TEXT(B595,"yyyy-mm")</f>
        <v>2024-11</v>
      </c>
    </row>
    <row r="596" customFormat="false" ht="15" hidden="false" customHeight="false" outlineLevel="0" collapsed="false">
      <c r="A596" s="7" t="s">
        <v>1216</v>
      </c>
      <c r="B596" s="7" t="s">
        <v>332</v>
      </c>
      <c r="C596" s="7" t="s">
        <v>631</v>
      </c>
      <c r="D596" s="7" t="s">
        <v>130</v>
      </c>
      <c r="E596" s="7" t="s">
        <v>131</v>
      </c>
      <c r="F596" s="7" t="s">
        <v>72</v>
      </c>
      <c r="G596" s="7" t="s">
        <v>65</v>
      </c>
      <c r="H596" s="7" t="s">
        <v>106</v>
      </c>
      <c r="I596" s="7" t="s">
        <v>75</v>
      </c>
      <c r="J596" s="7" t="n">
        <v>3</v>
      </c>
      <c r="K596" s="8" t="n">
        <v>7899</v>
      </c>
      <c r="L596" s="9" t="n">
        <v>0.05</v>
      </c>
      <c r="M596" s="8" t="n">
        <v>10217.49</v>
      </c>
      <c r="N596" s="8" t="n">
        <f aca="false">J596*K596*(1-L596)</f>
        <v>22512.15</v>
      </c>
      <c r="O596" s="8" t="n">
        <f aca="false">N596-M596</f>
        <v>12294.66</v>
      </c>
      <c r="P596" s="10" t="n">
        <f aca="false">IFERROR(O596/N596,0)</f>
        <v>0.54613442074613</v>
      </c>
      <c r="Q596" s="7" t="str">
        <f aca="false">TEXT(B596,"mmm")</f>
        <v>Jun</v>
      </c>
      <c r="R596" s="7" t="str">
        <f aca="false">TEXT(B596,"yyyy-mm")</f>
        <v>2024-06</v>
      </c>
    </row>
    <row r="597" customFormat="false" ht="15" hidden="false" customHeight="false" outlineLevel="0" collapsed="false">
      <c r="A597" s="7" t="s">
        <v>1217</v>
      </c>
      <c r="B597" s="7" t="s">
        <v>1218</v>
      </c>
      <c r="C597" s="7" t="s">
        <v>518</v>
      </c>
      <c r="D597" s="7" t="s">
        <v>227</v>
      </c>
      <c r="E597" s="7" t="s">
        <v>228</v>
      </c>
      <c r="F597" s="7" t="s">
        <v>64</v>
      </c>
      <c r="G597" s="7" t="s">
        <v>49</v>
      </c>
      <c r="H597" s="7" t="s">
        <v>58</v>
      </c>
      <c r="I597" s="7" t="s">
        <v>51</v>
      </c>
      <c r="J597" s="7" t="n">
        <v>2</v>
      </c>
      <c r="K597" s="8" t="n">
        <v>5529</v>
      </c>
      <c r="L597" s="9" t="n">
        <v>0.15</v>
      </c>
      <c r="M597" s="8" t="n">
        <v>6105.44</v>
      </c>
      <c r="N597" s="8" t="n">
        <f aca="false">J597*K597*(1-L597)</f>
        <v>9399.3</v>
      </c>
      <c r="O597" s="8" t="n">
        <f aca="false">N597-M597</f>
        <v>3293.86</v>
      </c>
      <c r="P597" s="10" t="n">
        <f aca="false">IFERROR(O597/N597,0)</f>
        <v>0.350436734650453</v>
      </c>
      <c r="Q597" s="7" t="str">
        <f aca="false">TEXT(B597,"mmm")</f>
        <v>Mar</v>
      </c>
      <c r="R597" s="7" t="str">
        <f aca="false">TEXT(B597,"yyyy-mm")</f>
        <v>2024-03</v>
      </c>
    </row>
    <row r="598" customFormat="false" ht="15" hidden="false" customHeight="false" outlineLevel="0" collapsed="false">
      <c r="A598" s="7" t="s">
        <v>1219</v>
      </c>
      <c r="B598" s="7" t="s">
        <v>1097</v>
      </c>
      <c r="C598" s="7" t="s">
        <v>529</v>
      </c>
      <c r="D598" s="7" t="s">
        <v>95</v>
      </c>
      <c r="E598" s="7" t="s">
        <v>96</v>
      </c>
      <c r="F598" s="7" t="s">
        <v>48</v>
      </c>
      <c r="G598" s="7" t="s">
        <v>49</v>
      </c>
      <c r="H598" s="7" t="s">
        <v>58</v>
      </c>
      <c r="I598" s="7" t="s">
        <v>51</v>
      </c>
      <c r="J598" s="7" t="n">
        <v>1</v>
      </c>
      <c r="K598" s="8" t="n">
        <v>5529</v>
      </c>
      <c r="L598" s="9" t="n">
        <v>0.15</v>
      </c>
      <c r="M598" s="8" t="n">
        <v>3116.26</v>
      </c>
      <c r="N598" s="8" t="n">
        <f aca="false">J598*K598*(1-L598)</f>
        <v>4699.65</v>
      </c>
      <c r="O598" s="8" t="n">
        <f aca="false">N598-M598</f>
        <v>1583.39</v>
      </c>
      <c r="P598" s="10" t="n">
        <f aca="false">IFERROR(O598/N598,0)</f>
        <v>0.336916578894173</v>
      </c>
      <c r="Q598" s="7" t="str">
        <f aca="false">TEXT(B598,"mmm")</f>
        <v>Jul</v>
      </c>
      <c r="R598" s="7" t="str">
        <f aca="false">TEXT(B598,"yyyy-mm")</f>
        <v>2024-07</v>
      </c>
    </row>
    <row r="599" customFormat="false" ht="15" hidden="false" customHeight="false" outlineLevel="0" collapsed="false">
      <c r="A599" s="7" t="s">
        <v>1220</v>
      </c>
      <c r="B599" s="7" t="s">
        <v>1221</v>
      </c>
      <c r="C599" s="7" t="s">
        <v>1098</v>
      </c>
      <c r="D599" s="7" t="s">
        <v>113</v>
      </c>
      <c r="E599" s="7" t="s">
        <v>114</v>
      </c>
      <c r="F599" s="7" t="s">
        <v>57</v>
      </c>
      <c r="G599" s="7" t="s">
        <v>49</v>
      </c>
      <c r="H599" s="7" t="s">
        <v>50</v>
      </c>
      <c r="I599" s="7" t="s">
        <v>51</v>
      </c>
      <c r="J599" s="7" t="n">
        <v>8</v>
      </c>
      <c r="K599" s="8" t="n">
        <v>3069</v>
      </c>
      <c r="L599" s="9" t="n">
        <v>0</v>
      </c>
      <c r="M599" s="8" t="n">
        <v>18336.64</v>
      </c>
      <c r="N599" s="8" t="n">
        <f aca="false">J599*K599*(1-L599)</f>
        <v>24552</v>
      </c>
      <c r="O599" s="8" t="n">
        <f aca="false">N599-M599</f>
        <v>6215.36</v>
      </c>
      <c r="P599" s="10" t="n">
        <f aca="false">IFERROR(O599/N599,0)</f>
        <v>0.253150863473444</v>
      </c>
      <c r="Q599" s="7" t="str">
        <f aca="false">TEXT(B599,"mmm")</f>
        <v>Oct</v>
      </c>
      <c r="R599" s="7" t="str">
        <f aca="false">TEXT(B599,"yyyy-mm")</f>
        <v>2024-10</v>
      </c>
    </row>
    <row r="600" customFormat="false" ht="15" hidden="false" customHeight="false" outlineLevel="0" collapsed="false">
      <c r="A600" s="7" t="s">
        <v>1222</v>
      </c>
      <c r="B600" s="7" t="s">
        <v>1223</v>
      </c>
      <c r="C600" s="7" t="s">
        <v>556</v>
      </c>
      <c r="D600" s="7" t="s">
        <v>46</v>
      </c>
      <c r="E600" s="7" t="s">
        <v>47</v>
      </c>
      <c r="F600" s="7" t="s">
        <v>48</v>
      </c>
      <c r="G600" s="7" t="s">
        <v>65</v>
      </c>
      <c r="H600" s="7" t="s">
        <v>217</v>
      </c>
      <c r="I600" s="7" t="s">
        <v>51</v>
      </c>
      <c r="J600" s="7" t="n">
        <v>4</v>
      </c>
      <c r="K600" s="8" t="n">
        <v>4349</v>
      </c>
      <c r="L600" s="9" t="n">
        <v>0</v>
      </c>
      <c r="M600" s="8" t="n">
        <v>9955.08</v>
      </c>
      <c r="N600" s="8" t="n">
        <f aca="false">J600*K600*(1-L600)</f>
        <v>17396</v>
      </c>
      <c r="O600" s="8" t="n">
        <f aca="false">N600-M600</f>
        <v>7440.92</v>
      </c>
      <c r="P600" s="10" t="n">
        <f aca="false">IFERROR(O600/N600,0)</f>
        <v>0.427737410899057</v>
      </c>
      <c r="Q600" s="7" t="str">
        <f aca="false">TEXT(B600,"mmm")</f>
        <v>Aug</v>
      </c>
      <c r="R600" s="7" t="str">
        <f aca="false">TEXT(B600,"yyyy-mm")</f>
        <v>2024-08</v>
      </c>
    </row>
    <row r="601" customFormat="false" ht="15" hidden="false" customHeight="false" outlineLevel="0" collapsed="false">
      <c r="A601" s="7" t="s">
        <v>1224</v>
      </c>
      <c r="B601" s="7" t="s">
        <v>661</v>
      </c>
      <c r="C601" s="7" t="s">
        <v>85</v>
      </c>
      <c r="D601" s="7" t="s">
        <v>62</v>
      </c>
      <c r="E601" s="7" t="s">
        <v>63</v>
      </c>
      <c r="F601" s="7" t="s">
        <v>64</v>
      </c>
      <c r="G601" s="7" t="s">
        <v>49</v>
      </c>
      <c r="H601" s="7" t="s">
        <v>172</v>
      </c>
      <c r="I601" s="7" t="s">
        <v>51</v>
      </c>
      <c r="J601" s="7" t="n">
        <v>5</v>
      </c>
      <c r="K601" s="8" t="n">
        <v>7079</v>
      </c>
      <c r="L601" s="9" t="n">
        <v>0</v>
      </c>
      <c r="M601" s="8" t="n">
        <v>13698.9</v>
      </c>
      <c r="N601" s="8" t="n">
        <f aca="false">J601*K601*(1-L601)</f>
        <v>35395</v>
      </c>
      <c r="O601" s="8" t="n">
        <f aca="false">N601-M601</f>
        <v>21696.1</v>
      </c>
      <c r="P601" s="10" t="n">
        <f aca="false">IFERROR(O601/N601,0)</f>
        <v>0.612970758581721</v>
      </c>
      <c r="Q601" s="7" t="str">
        <f aca="false">TEXT(B601,"mmm")</f>
        <v>Jan</v>
      </c>
      <c r="R601" s="7" t="str">
        <f aca="false">TEXT(B601,"yyyy-mm")</f>
        <v>2024-01</v>
      </c>
    </row>
    <row r="602" customFormat="false" ht="15" hidden="false" customHeight="false" outlineLevel="0" collapsed="false">
      <c r="A602" s="7" t="s">
        <v>1225</v>
      </c>
      <c r="B602" s="7" t="s">
        <v>822</v>
      </c>
      <c r="C602" s="7" t="s">
        <v>1150</v>
      </c>
      <c r="D602" s="7" t="s">
        <v>154</v>
      </c>
      <c r="E602" s="7" t="s">
        <v>155</v>
      </c>
      <c r="F602" s="7" t="s">
        <v>57</v>
      </c>
      <c r="G602" s="7" t="s">
        <v>49</v>
      </c>
      <c r="H602" s="7" t="s">
        <v>58</v>
      </c>
      <c r="I602" s="7" t="s">
        <v>51</v>
      </c>
      <c r="J602" s="7" t="n">
        <v>6</v>
      </c>
      <c r="K602" s="8" t="n">
        <v>2949</v>
      </c>
      <c r="L602" s="9" t="n">
        <v>0</v>
      </c>
      <c r="M602" s="8" t="n">
        <v>9332.34</v>
      </c>
      <c r="N602" s="8" t="n">
        <f aca="false">J602*K602*(1-L602)</f>
        <v>17694</v>
      </c>
      <c r="O602" s="8" t="n">
        <f aca="false">N602-M602</f>
        <v>8361.66</v>
      </c>
      <c r="P602" s="10" t="n">
        <f aca="false">IFERROR(O602/N602,0)</f>
        <v>0.472570362834859</v>
      </c>
      <c r="Q602" s="7" t="str">
        <f aca="false">TEXT(B602,"mmm")</f>
        <v>Oct</v>
      </c>
      <c r="R602" s="7" t="str">
        <f aca="false">TEXT(B602,"yyyy-mm")</f>
        <v>2024-10</v>
      </c>
    </row>
    <row r="603" customFormat="false" ht="15" hidden="false" customHeight="false" outlineLevel="0" collapsed="false">
      <c r="A603" s="7" t="s">
        <v>1226</v>
      </c>
      <c r="B603" s="7" t="s">
        <v>934</v>
      </c>
      <c r="C603" s="7" t="s">
        <v>335</v>
      </c>
      <c r="D603" s="7" t="s">
        <v>244</v>
      </c>
      <c r="E603" s="7" t="s">
        <v>245</v>
      </c>
      <c r="F603" s="7" t="s">
        <v>88</v>
      </c>
      <c r="G603" s="7" t="s">
        <v>65</v>
      </c>
      <c r="H603" s="7" t="s">
        <v>126</v>
      </c>
      <c r="I603" s="7" t="s">
        <v>51</v>
      </c>
      <c r="J603" s="7" t="n">
        <v>6</v>
      </c>
      <c r="K603" s="8" t="n">
        <v>5319</v>
      </c>
      <c r="L603" s="9" t="n">
        <v>0.05</v>
      </c>
      <c r="M603" s="8" t="n">
        <v>18514.98</v>
      </c>
      <c r="N603" s="8" t="n">
        <f aca="false">J603*K603*(1-L603)</f>
        <v>30318.3</v>
      </c>
      <c r="O603" s="8" t="n">
        <f aca="false">N603-M603</f>
        <v>11803.32</v>
      </c>
      <c r="P603" s="10" t="n">
        <f aca="false">IFERROR(O603/N603,0)</f>
        <v>0.389313384985306</v>
      </c>
      <c r="Q603" s="7" t="str">
        <f aca="false">TEXT(B603,"mmm")</f>
        <v>Mar</v>
      </c>
      <c r="R603" s="7" t="str">
        <f aca="false">TEXT(B603,"yyyy-mm")</f>
        <v>2024-03</v>
      </c>
    </row>
    <row r="604" customFormat="false" ht="15" hidden="false" customHeight="false" outlineLevel="0" collapsed="false">
      <c r="A604" s="7" t="s">
        <v>1227</v>
      </c>
      <c r="B604" s="7" t="s">
        <v>916</v>
      </c>
      <c r="C604" s="7" t="s">
        <v>734</v>
      </c>
      <c r="D604" s="7" t="s">
        <v>201</v>
      </c>
      <c r="E604" s="7" t="s">
        <v>202</v>
      </c>
      <c r="F604" s="7" t="s">
        <v>72</v>
      </c>
      <c r="G604" s="7" t="s">
        <v>49</v>
      </c>
      <c r="H604" s="7" t="s">
        <v>58</v>
      </c>
      <c r="I604" s="7" t="s">
        <v>51</v>
      </c>
      <c r="J604" s="7" t="n">
        <v>4</v>
      </c>
      <c r="K604" s="8" t="n">
        <v>3990</v>
      </c>
      <c r="L604" s="9" t="n">
        <v>0</v>
      </c>
      <c r="M604" s="8" t="n">
        <v>12134.44</v>
      </c>
      <c r="N604" s="8" t="n">
        <f aca="false">J604*K604*(1-L604)</f>
        <v>15960</v>
      </c>
      <c r="O604" s="8" t="n">
        <f aca="false">N604-M604</f>
        <v>3825.56</v>
      </c>
      <c r="P604" s="10" t="n">
        <f aca="false">IFERROR(O604/N604,0)</f>
        <v>0.239696741854637</v>
      </c>
      <c r="Q604" s="7" t="str">
        <f aca="false">TEXT(B604,"mmm")</f>
        <v>Sep</v>
      </c>
      <c r="R604" s="7" t="str">
        <f aca="false">TEXT(B604,"yyyy-mm")</f>
        <v>2024-09</v>
      </c>
    </row>
    <row r="605" customFormat="false" ht="15" hidden="false" customHeight="false" outlineLevel="0" collapsed="false">
      <c r="A605" s="7" t="s">
        <v>1228</v>
      </c>
      <c r="B605" s="7" t="s">
        <v>491</v>
      </c>
      <c r="C605" s="7" t="s">
        <v>294</v>
      </c>
      <c r="D605" s="7" t="s">
        <v>135</v>
      </c>
      <c r="E605" s="7" t="s">
        <v>136</v>
      </c>
      <c r="F605" s="7" t="s">
        <v>72</v>
      </c>
      <c r="G605" s="7" t="s">
        <v>65</v>
      </c>
      <c r="H605" s="7" t="s">
        <v>126</v>
      </c>
      <c r="I605" s="7" t="s">
        <v>75</v>
      </c>
      <c r="J605" s="7" t="n">
        <v>6</v>
      </c>
      <c r="K605" s="8" t="n">
        <v>7029</v>
      </c>
      <c r="L605" s="9" t="n">
        <v>0.2</v>
      </c>
      <c r="M605" s="8" t="n">
        <v>20922.06</v>
      </c>
      <c r="N605" s="8" t="n">
        <f aca="false">J605*K605*(1-L605)</f>
        <v>33739.2</v>
      </c>
      <c r="O605" s="8" t="n">
        <f aca="false">N605-M605</f>
        <v>12817.14</v>
      </c>
      <c r="P605" s="10" t="n">
        <f aca="false">IFERROR(O605/N605,0)</f>
        <v>0.379888675487267</v>
      </c>
      <c r="Q605" s="7" t="str">
        <f aca="false">TEXT(B605,"mmm")</f>
        <v>Apr</v>
      </c>
      <c r="R605" s="7" t="str">
        <f aca="false">TEXT(B605,"yyyy-mm")</f>
        <v>2024-04</v>
      </c>
    </row>
    <row r="606" customFormat="false" ht="15" hidden="false" customHeight="false" outlineLevel="0" collapsed="false">
      <c r="A606" s="7" t="s">
        <v>1229</v>
      </c>
      <c r="B606" s="7" t="s">
        <v>44</v>
      </c>
      <c r="C606" s="7" t="s">
        <v>467</v>
      </c>
      <c r="D606" s="7" t="s">
        <v>549</v>
      </c>
      <c r="E606" s="7" t="s">
        <v>550</v>
      </c>
      <c r="F606" s="7" t="s">
        <v>48</v>
      </c>
      <c r="G606" s="7" t="s">
        <v>81</v>
      </c>
      <c r="H606" s="7" t="s">
        <v>82</v>
      </c>
      <c r="I606" s="7" t="s">
        <v>51</v>
      </c>
      <c r="J606" s="7" t="n">
        <v>2</v>
      </c>
      <c r="K606" s="8" t="n">
        <v>3419</v>
      </c>
      <c r="L606" s="9" t="n">
        <v>0.1</v>
      </c>
      <c r="M606" s="8" t="n">
        <v>5020.64</v>
      </c>
      <c r="N606" s="8" t="n">
        <f aca="false">J606*K606*(1-L606)</f>
        <v>6154.2</v>
      </c>
      <c r="O606" s="8" t="n">
        <f aca="false">N606-M606</f>
        <v>1133.56</v>
      </c>
      <c r="P606" s="10" t="n">
        <f aca="false">IFERROR(O606/N606,0)</f>
        <v>0.184192908907738</v>
      </c>
      <c r="Q606" s="7" t="str">
        <f aca="false">TEXT(B606,"mmm")</f>
        <v>Jul</v>
      </c>
      <c r="R606" s="7" t="str">
        <f aca="false">TEXT(B606,"yyyy-mm")</f>
        <v>2024-07</v>
      </c>
    </row>
    <row r="607" customFormat="false" ht="15" hidden="false" customHeight="false" outlineLevel="0" collapsed="false">
      <c r="A607" s="7" t="s">
        <v>1230</v>
      </c>
      <c r="B607" s="7" t="s">
        <v>509</v>
      </c>
      <c r="C607" s="7" t="s">
        <v>392</v>
      </c>
      <c r="D607" s="7" t="s">
        <v>86</v>
      </c>
      <c r="E607" s="7" t="s">
        <v>87</v>
      </c>
      <c r="F607" s="7" t="s">
        <v>88</v>
      </c>
      <c r="G607" s="7" t="s">
        <v>65</v>
      </c>
      <c r="H607" s="7" t="s">
        <v>106</v>
      </c>
      <c r="I607" s="7" t="s">
        <v>75</v>
      </c>
      <c r="J607" s="7" t="n">
        <v>1</v>
      </c>
      <c r="K607" s="8" t="n">
        <v>3719</v>
      </c>
      <c r="L607" s="9" t="n">
        <v>0.15</v>
      </c>
      <c r="M607" s="8" t="n">
        <v>1475.37</v>
      </c>
      <c r="N607" s="8" t="n">
        <f aca="false">J607*K607*(1-L607)</f>
        <v>3161.15</v>
      </c>
      <c r="O607" s="8" t="n">
        <f aca="false">N607-M607</f>
        <v>1685.78</v>
      </c>
      <c r="P607" s="10" t="n">
        <f aca="false">IFERROR(O607/N607,0)</f>
        <v>0.533280609904623</v>
      </c>
      <c r="Q607" s="7" t="str">
        <f aca="false">TEXT(B607,"mmm")</f>
        <v>Feb</v>
      </c>
      <c r="R607" s="7" t="str">
        <f aca="false">TEXT(B607,"yyyy-mm")</f>
        <v>2024-02</v>
      </c>
    </row>
    <row r="608" customFormat="false" ht="15" hidden="false" customHeight="false" outlineLevel="0" collapsed="false">
      <c r="A608" s="7" t="s">
        <v>1231</v>
      </c>
      <c r="B608" s="7" t="s">
        <v>918</v>
      </c>
      <c r="C608" s="7" t="s">
        <v>226</v>
      </c>
      <c r="D608" s="7" t="s">
        <v>46</v>
      </c>
      <c r="E608" s="7" t="s">
        <v>47</v>
      </c>
      <c r="F608" s="7" t="s">
        <v>48</v>
      </c>
      <c r="G608" s="7" t="s">
        <v>73</v>
      </c>
      <c r="H608" s="7" t="s">
        <v>266</v>
      </c>
      <c r="I608" s="7" t="s">
        <v>75</v>
      </c>
      <c r="J608" s="7" t="n">
        <v>5</v>
      </c>
      <c r="K608" s="8" t="n">
        <v>4349</v>
      </c>
      <c r="L608" s="9" t="n">
        <v>0</v>
      </c>
      <c r="M608" s="8" t="n">
        <v>12443.85</v>
      </c>
      <c r="N608" s="8" t="n">
        <f aca="false">J608*K608*(1-L608)</f>
        <v>21745</v>
      </c>
      <c r="O608" s="8" t="n">
        <f aca="false">N608-M608</f>
        <v>9301.15</v>
      </c>
      <c r="P608" s="10" t="n">
        <f aca="false">IFERROR(O608/N608,0)</f>
        <v>0.427737410899057</v>
      </c>
      <c r="Q608" s="7" t="str">
        <f aca="false">TEXT(B608,"mmm")</f>
        <v>Oct</v>
      </c>
      <c r="R608" s="7" t="str">
        <f aca="false">TEXT(B608,"yyyy-mm")</f>
        <v>2024-10</v>
      </c>
    </row>
    <row r="609" customFormat="false" ht="15" hidden="false" customHeight="false" outlineLevel="0" collapsed="false">
      <c r="A609" s="7" t="s">
        <v>1232</v>
      </c>
      <c r="B609" s="7" t="s">
        <v>1233</v>
      </c>
      <c r="C609" s="7" t="s">
        <v>903</v>
      </c>
      <c r="D609" s="7" t="s">
        <v>287</v>
      </c>
      <c r="E609" s="7" t="s">
        <v>288</v>
      </c>
      <c r="F609" s="7" t="s">
        <v>72</v>
      </c>
      <c r="G609" s="7" t="s">
        <v>73</v>
      </c>
      <c r="H609" s="7" t="s">
        <v>211</v>
      </c>
      <c r="I609" s="7" t="s">
        <v>51</v>
      </c>
      <c r="J609" s="7" t="n">
        <v>2</v>
      </c>
      <c r="K609" s="8" t="n">
        <v>1049</v>
      </c>
      <c r="L609" s="9" t="n">
        <v>0</v>
      </c>
      <c r="M609" s="8" t="n">
        <v>1324.04</v>
      </c>
      <c r="N609" s="8" t="n">
        <f aca="false">J609*K609*(1-L609)</f>
        <v>2098</v>
      </c>
      <c r="O609" s="8" t="n">
        <f aca="false">N609-M609</f>
        <v>773.96</v>
      </c>
      <c r="P609" s="10" t="n">
        <f aca="false">IFERROR(O609/N609,0)</f>
        <v>0.368903717826501</v>
      </c>
      <c r="Q609" s="7" t="str">
        <f aca="false">TEXT(B609,"mmm")</f>
        <v>Jul</v>
      </c>
      <c r="R609" s="7" t="str">
        <f aca="false">TEXT(B609,"yyyy-mm")</f>
        <v>2024-07</v>
      </c>
    </row>
    <row r="610" customFormat="false" ht="15" hidden="false" customHeight="false" outlineLevel="0" collapsed="false">
      <c r="A610" s="7" t="s">
        <v>1234</v>
      </c>
      <c r="B610" s="7" t="s">
        <v>626</v>
      </c>
      <c r="C610" s="7" t="s">
        <v>284</v>
      </c>
      <c r="D610" s="7" t="s">
        <v>144</v>
      </c>
      <c r="E610" s="7" t="s">
        <v>145</v>
      </c>
      <c r="F610" s="7" t="s">
        <v>48</v>
      </c>
      <c r="G610" s="7" t="s">
        <v>65</v>
      </c>
      <c r="H610" s="7" t="s">
        <v>66</v>
      </c>
      <c r="I610" s="7" t="s">
        <v>51</v>
      </c>
      <c r="J610" s="7" t="n">
        <v>4</v>
      </c>
      <c r="K610" s="8" t="n">
        <v>5149</v>
      </c>
      <c r="L610" s="9" t="n">
        <v>0</v>
      </c>
      <c r="M610" s="8" t="n">
        <v>8689.92</v>
      </c>
      <c r="N610" s="8" t="n">
        <f aca="false">J610*K610*(1-L610)</f>
        <v>20596</v>
      </c>
      <c r="O610" s="8" t="n">
        <f aca="false">N610-M610</f>
        <v>11906.08</v>
      </c>
      <c r="P610" s="10" t="n">
        <f aca="false">IFERROR(O610/N610,0)</f>
        <v>0.578077296562439</v>
      </c>
      <c r="Q610" s="7" t="str">
        <f aca="false">TEXT(B610,"mmm")</f>
        <v>Feb</v>
      </c>
      <c r="R610" s="7" t="str">
        <f aca="false">TEXT(B610,"yyyy-mm")</f>
        <v>2024-02</v>
      </c>
    </row>
    <row r="611" customFormat="false" ht="15" hidden="false" customHeight="false" outlineLevel="0" collapsed="false">
      <c r="A611" s="7" t="s">
        <v>1235</v>
      </c>
      <c r="B611" s="7" t="s">
        <v>1152</v>
      </c>
      <c r="C611" s="7" t="s">
        <v>226</v>
      </c>
      <c r="D611" s="7" t="s">
        <v>206</v>
      </c>
      <c r="E611" s="7" t="s">
        <v>207</v>
      </c>
      <c r="F611" s="7" t="s">
        <v>88</v>
      </c>
      <c r="G611" s="7" t="s">
        <v>81</v>
      </c>
      <c r="H611" s="7" t="s">
        <v>186</v>
      </c>
      <c r="I611" s="7" t="s">
        <v>75</v>
      </c>
      <c r="J611" s="7" t="n">
        <v>4</v>
      </c>
      <c r="K611" s="8" t="n">
        <v>1029</v>
      </c>
      <c r="L611" s="9" t="n">
        <v>0</v>
      </c>
      <c r="M611" s="8" t="n">
        <v>2514.48</v>
      </c>
      <c r="N611" s="8" t="n">
        <f aca="false">J611*K611*(1-L611)</f>
        <v>4116</v>
      </c>
      <c r="O611" s="8" t="n">
        <f aca="false">N611-M611</f>
        <v>1601.52</v>
      </c>
      <c r="P611" s="10" t="n">
        <f aca="false">IFERROR(O611/N611,0)</f>
        <v>0.389096209912536</v>
      </c>
      <c r="Q611" s="7" t="str">
        <f aca="false">TEXT(B611,"mmm")</f>
        <v>Feb</v>
      </c>
      <c r="R611" s="7" t="str">
        <f aca="false">TEXT(B611,"yyyy-mm")</f>
        <v>2024-02</v>
      </c>
    </row>
    <row r="612" customFormat="false" ht="15" hidden="false" customHeight="false" outlineLevel="0" collapsed="false">
      <c r="A612" s="7" t="s">
        <v>1236</v>
      </c>
      <c r="B612" s="7" t="s">
        <v>776</v>
      </c>
      <c r="C612" s="7" t="s">
        <v>451</v>
      </c>
      <c r="D612" s="7" t="s">
        <v>119</v>
      </c>
      <c r="E612" s="7" t="s">
        <v>120</v>
      </c>
      <c r="F612" s="7" t="s">
        <v>88</v>
      </c>
      <c r="G612" s="7" t="s">
        <v>81</v>
      </c>
      <c r="H612" s="7" t="s">
        <v>237</v>
      </c>
      <c r="I612" s="7" t="s">
        <v>75</v>
      </c>
      <c r="J612" s="7" t="n">
        <v>6</v>
      </c>
      <c r="K612" s="8" t="n">
        <v>620</v>
      </c>
      <c r="L612" s="9" t="n">
        <v>0.05</v>
      </c>
      <c r="M612" s="8" t="n">
        <v>2727.3</v>
      </c>
      <c r="N612" s="8" t="n">
        <f aca="false">J612*K612*(1-L612)</f>
        <v>3534</v>
      </c>
      <c r="O612" s="8" t="n">
        <f aca="false">N612-M612</f>
        <v>806.7</v>
      </c>
      <c r="P612" s="10" t="n">
        <f aca="false">IFERROR(O612/N612,0)</f>
        <v>0.228268251273345</v>
      </c>
      <c r="Q612" s="7" t="str">
        <f aca="false">TEXT(B612,"mmm")</f>
        <v>Jan</v>
      </c>
      <c r="R612" s="7" t="str">
        <f aca="false">TEXT(B612,"yyyy-mm")</f>
        <v>2024-01</v>
      </c>
    </row>
    <row r="613" customFormat="false" ht="15" hidden="false" customHeight="false" outlineLevel="0" collapsed="false">
      <c r="A613" s="7" t="s">
        <v>1237</v>
      </c>
      <c r="B613" s="7" t="s">
        <v>646</v>
      </c>
      <c r="C613" s="7" t="s">
        <v>816</v>
      </c>
      <c r="D613" s="7" t="s">
        <v>124</v>
      </c>
      <c r="E613" s="7" t="s">
        <v>125</v>
      </c>
      <c r="F613" s="7" t="s">
        <v>64</v>
      </c>
      <c r="G613" s="7" t="s">
        <v>81</v>
      </c>
      <c r="H613" s="7" t="s">
        <v>109</v>
      </c>
      <c r="I613" s="7" t="s">
        <v>51</v>
      </c>
      <c r="J613" s="7" t="n">
        <v>4</v>
      </c>
      <c r="K613" s="8" t="n">
        <v>1349</v>
      </c>
      <c r="L613" s="9" t="n">
        <v>0.05</v>
      </c>
      <c r="M613" s="8" t="n">
        <v>2789.6</v>
      </c>
      <c r="N613" s="8" t="n">
        <f aca="false">J613*K613*(1-L613)</f>
        <v>5126.2</v>
      </c>
      <c r="O613" s="8" t="n">
        <f aca="false">N613-M613</f>
        <v>2336.6</v>
      </c>
      <c r="P613" s="10" t="n">
        <f aca="false">IFERROR(O613/N613,0)</f>
        <v>0.455815223752487</v>
      </c>
      <c r="Q613" s="7" t="str">
        <f aca="false">TEXT(B613,"mmm")</f>
        <v>Feb</v>
      </c>
      <c r="R613" s="7" t="str">
        <f aca="false">TEXT(B613,"yyyy-mm")</f>
        <v>2024-02</v>
      </c>
    </row>
    <row r="614" customFormat="false" ht="15" hidden="false" customHeight="false" outlineLevel="0" collapsed="false">
      <c r="A614" s="7" t="s">
        <v>1238</v>
      </c>
      <c r="B614" s="7" t="s">
        <v>585</v>
      </c>
      <c r="C614" s="7" t="s">
        <v>240</v>
      </c>
      <c r="D614" s="7" t="s">
        <v>295</v>
      </c>
      <c r="E614" s="7" t="s">
        <v>296</v>
      </c>
      <c r="F614" s="7" t="s">
        <v>64</v>
      </c>
      <c r="G614" s="7" t="s">
        <v>49</v>
      </c>
      <c r="H614" s="7" t="s">
        <v>58</v>
      </c>
      <c r="I614" s="7" t="s">
        <v>51</v>
      </c>
      <c r="J614" s="7" t="n">
        <v>5</v>
      </c>
      <c r="K614" s="8" t="n">
        <v>1249</v>
      </c>
      <c r="L614" s="9" t="n">
        <v>0</v>
      </c>
      <c r="M614" s="8" t="n">
        <v>4586.55</v>
      </c>
      <c r="N614" s="8" t="n">
        <f aca="false">J614*K614*(1-L614)</f>
        <v>6245</v>
      </c>
      <c r="O614" s="8" t="n">
        <f aca="false">N614-M614</f>
        <v>1658.45</v>
      </c>
      <c r="P614" s="10" t="n">
        <f aca="false">IFERROR(O614/N614,0)</f>
        <v>0.265564451561249</v>
      </c>
      <c r="Q614" s="7" t="str">
        <f aca="false">TEXT(B614,"mmm")</f>
        <v>Sep</v>
      </c>
      <c r="R614" s="7" t="str">
        <f aca="false">TEXT(B614,"yyyy-mm")</f>
        <v>2024-09</v>
      </c>
    </row>
    <row r="615" customFormat="false" ht="15" hidden="false" customHeight="false" outlineLevel="0" collapsed="false">
      <c r="A615" s="7" t="s">
        <v>1239</v>
      </c>
      <c r="B615" s="7" t="s">
        <v>960</v>
      </c>
      <c r="C615" s="7" t="s">
        <v>622</v>
      </c>
      <c r="D615" s="7" t="s">
        <v>62</v>
      </c>
      <c r="E615" s="7" t="s">
        <v>63</v>
      </c>
      <c r="F615" s="7" t="s">
        <v>64</v>
      </c>
      <c r="G615" s="7" t="s">
        <v>73</v>
      </c>
      <c r="H615" s="7" t="s">
        <v>266</v>
      </c>
      <c r="I615" s="7" t="s">
        <v>51</v>
      </c>
      <c r="J615" s="7" t="n">
        <v>4</v>
      </c>
      <c r="K615" s="8" t="n">
        <v>7079</v>
      </c>
      <c r="L615" s="9" t="n">
        <v>0.2</v>
      </c>
      <c r="M615" s="8" t="n">
        <v>10959.12</v>
      </c>
      <c r="N615" s="8" t="n">
        <f aca="false">J615*K615*(1-L615)</f>
        <v>22652.8</v>
      </c>
      <c r="O615" s="8" t="n">
        <f aca="false">N615-M615</f>
        <v>11693.68</v>
      </c>
      <c r="P615" s="10" t="n">
        <f aca="false">IFERROR(O615/N615,0)</f>
        <v>0.516213448227151</v>
      </c>
      <c r="Q615" s="7" t="str">
        <f aca="false">TEXT(B615,"mmm")</f>
        <v>May</v>
      </c>
      <c r="R615" s="7" t="str">
        <f aca="false">TEXT(B615,"yyyy-mm")</f>
        <v>2024-05</v>
      </c>
    </row>
    <row r="616" customFormat="false" ht="15" hidden="false" customHeight="false" outlineLevel="0" collapsed="false">
      <c r="A616" s="7" t="s">
        <v>1240</v>
      </c>
      <c r="B616" s="7" t="s">
        <v>526</v>
      </c>
      <c r="C616" s="7" t="s">
        <v>1241</v>
      </c>
      <c r="D616" s="7" t="s">
        <v>206</v>
      </c>
      <c r="E616" s="7" t="s">
        <v>207</v>
      </c>
      <c r="F616" s="7" t="s">
        <v>88</v>
      </c>
      <c r="G616" s="7" t="s">
        <v>49</v>
      </c>
      <c r="H616" s="7" t="s">
        <v>58</v>
      </c>
      <c r="I616" s="7" t="s">
        <v>51</v>
      </c>
      <c r="J616" s="7" t="n">
        <v>6</v>
      </c>
      <c r="K616" s="8" t="n">
        <v>1029</v>
      </c>
      <c r="L616" s="9" t="n">
        <v>0.25</v>
      </c>
      <c r="M616" s="8" t="n">
        <v>3771.72</v>
      </c>
      <c r="N616" s="8" t="n">
        <f aca="false">J616*K616*(1-L616)</f>
        <v>4630.5</v>
      </c>
      <c r="O616" s="8" t="n">
        <f aca="false">N616-M616</f>
        <v>858.78</v>
      </c>
      <c r="P616" s="10" t="n">
        <f aca="false">IFERROR(O616/N616,0)</f>
        <v>0.185461613216715</v>
      </c>
      <c r="Q616" s="7" t="str">
        <f aca="false">TEXT(B616,"mmm")</f>
        <v>Jan</v>
      </c>
      <c r="R616" s="7" t="str">
        <f aca="false">TEXT(B616,"yyyy-mm")</f>
        <v>2024-01</v>
      </c>
    </row>
    <row r="617" customFormat="false" ht="15" hidden="false" customHeight="false" outlineLevel="0" collapsed="false">
      <c r="A617" s="7" t="s">
        <v>1242</v>
      </c>
      <c r="B617" s="7" t="s">
        <v>1014</v>
      </c>
      <c r="C617" s="7" t="s">
        <v>593</v>
      </c>
      <c r="D617" s="7" t="s">
        <v>201</v>
      </c>
      <c r="E617" s="7" t="s">
        <v>202</v>
      </c>
      <c r="F617" s="7" t="s">
        <v>72</v>
      </c>
      <c r="G617" s="7" t="s">
        <v>65</v>
      </c>
      <c r="H617" s="7" t="s">
        <v>217</v>
      </c>
      <c r="I617" s="7" t="s">
        <v>75</v>
      </c>
      <c r="J617" s="7" t="n">
        <v>4</v>
      </c>
      <c r="K617" s="8" t="n">
        <v>3990</v>
      </c>
      <c r="L617" s="9" t="n">
        <v>0</v>
      </c>
      <c r="M617" s="8" t="n">
        <v>12134.44</v>
      </c>
      <c r="N617" s="8" t="n">
        <f aca="false">J617*K617*(1-L617)</f>
        <v>15960</v>
      </c>
      <c r="O617" s="8" t="n">
        <f aca="false">N617-M617</f>
        <v>3825.56</v>
      </c>
      <c r="P617" s="10" t="n">
        <f aca="false">IFERROR(O617/N617,0)</f>
        <v>0.239696741854637</v>
      </c>
      <c r="Q617" s="7" t="str">
        <f aca="false">TEXT(B617,"mmm")</f>
        <v>Apr</v>
      </c>
      <c r="R617" s="7" t="str">
        <f aca="false">TEXT(B617,"yyyy-mm")</f>
        <v>2024-04</v>
      </c>
    </row>
    <row r="618" customFormat="false" ht="15" hidden="false" customHeight="false" outlineLevel="0" collapsed="false">
      <c r="A618" s="7" t="s">
        <v>1243</v>
      </c>
      <c r="B618" s="7" t="s">
        <v>184</v>
      </c>
      <c r="C618" s="7" t="s">
        <v>54</v>
      </c>
      <c r="D618" s="7" t="s">
        <v>86</v>
      </c>
      <c r="E618" s="7" t="s">
        <v>87</v>
      </c>
      <c r="F618" s="7" t="s">
        <v>88</v>
      </c>
      <c r="G618" s="7" t="s">
        <v>81</v>
      </c>
      <c r="H618" s="7" t="s">
        <v>109</v>
      </c>
      <c r="I618" s="7" t="s">
        <v>75</v>
      </c>
      <c r="J618" s="7" t="n">
        <v>4</v>
      </c>
      <c r="K618" s="8" t="n">
        <v>3719</v>
      </c>
      <c r="L618" s="9" t="n">
        <v>0</v>
      </c>
      <c r="M618" s="8" t="n">
        <v>5901.48</v>
      </c>
      <c r="N618" s="8" t="n">
        <f aca="false">J618*K618*(1-L618)</f>
        <v>14876</v>
      </c>
      <c r="O618" s="8" t="n">
        <f aca="false">N618-M618</f>
        <v>8974.52</v>
      </c>
      <c r="P618" s="10" t="n">
        <f aca="false">IFERROR(O618/N618,0)</f>
        <v>0.60328851841893</v>
      </c>
      <c r="Q618" s="7" t="str">
        <f aca="false">TEXT(B618,"mmm")</f>
        <v>Mar</v>
      </c>
      <c r="R618" s="7" t="str">
        <f aca="false">TEXT(B618,"yyyy-mm")</f>
        <v>2024-03</v>
      </c>
    </row>
    <row r="619" customFormat="false" ht="15" hidden="false" customHeight="false" outlineLevel="0" collapsed="false">
      <c r="A619" s="7" t="s">
        <v>1244</v>
      </c>
      <c r="B619" s="7" t="s">
        <v>691</v>
      </c>
      <c r="C619" s="7" t="s">
        <v>91</v>
      </c>
      <c r="D619" s="7" t="s">
        <v>119</v>
      </c>
      <c r="E619" s="7" t="s">
        <v>120</v>
      </c>
      <c r="F619" s="7" t="s">
        <v>88</v>
      </c>
      <c r="G619" s="7" t="s">
        <v>65</v>
      </c>
      <c r="H619" s="7" t="s">
        <v>217</v>
      </c>
      <c r="I619" s="7" t="s">
        <v>75</v>
      </c>
      <c r="J619" s="7" t="n">
        <v>3</v>
      </c>
      <c r="K619" s="8" t="n">
        <v>620</v>
      </c>
      <c r="L619" s="9" t="n">
        <v>0</v>
      </c>
      <c r="M619" s="8" t="n">
        <v>1363.65</v>
      </c>
      <c r="N619" s="8" t="n">
        <f aca="false">J619*K619*(1-L619)</f>
        <v>1860</v>
      </c>
      <c r="O619" s="8" t="n">
        <f aca="false">N619-M619</f>
        <v>496.35</v>
      </c>
      <c r="P619" s="10" t="n">
        <f aca="false">IFERROR(O619/N619,0)</f>
        <v>0.266854838709677</v>
      </c>
      <c r="Q619" s="7" t="str">
        <f aca="false">TEXT(B619,"mmm")</f>
        <v>Jun</v>
      </c>
      <c r="R619" s="7" t="str">
        <f aca="false">TEXT(B619,"yyyy-mm")</f>
        <v>2024-06</v>
      </c>
    </row>
    <row r="620" customFormat="false" ht="15" hidden="false" customHeight="false" outlineLevel="0" collapsed="false">
      <c r="A620" s="7" t="s">
        <v>1245</v>
      </c>
      <c r="B620" s="7" t="s">
        <v>138</v>
      </c>
      <c r="C620" s="7" t="s">
        <v>734</v>
      </c>
      <c r="D620" s="7" t="s">
        <v>104</v>
      </c>
      <c r="E620" s="7" t="s">
        <v>105</v>
      </c>
      <c r="F620" s="7" t="s">
        <v>48</v>
      </c>
      <c r="G620" s="7" t="s">
        <v>81</v>
      </c>
      <c r="H620" s="7" t="s">
        <v>237</v>
      </c>
      <c r="I620" s="7" t="s">
        <v>51</v>
      </c>
      <c r="J620" s="7" t="n">
        <v>2</v>
      </c>
      <c r="K620" s="8" t="n">
        <v>2000</v>
      </c>
      <c r="L620" s="9" t="n">
        <v>0.2</v>
      </c>
      <c r="M620" s="8" t="n">
        <v>1742.6</v>
      </c>
      <c r="N620" s="8" t="n">
        <f aca="false">J620*K620*(1-L620)</f>
        <v>3200</v>
      </c>
      <c r="O620" s="8" t="n">
        <f aca="false">N620-M620</f>
        <v>1457.4</v>
      </c>
      <c r="P620" s="10" t="n">
        <f aca="false">IFERROR(O620/N620,0)</f>
        <v>0.4554375</v>
      </c>
      <c r="Q620" s="7" t="str">
        <f aca="false">TEXT(B620,"mmm")</f>
        <v>Jan</v>
      </c>
      <c r="R620" s="7" t="str">
        <f aca="false">TEXT(B620,"yyyy-mm")</f>
        <v>2024-01</v>
      </c>
    </row>
    <row r="621" customFormat="false" ht="15" hidden="false" customHeight="false" outlineLevel="0" collapsed="false">
      <c r="A621" s="7" t="s">
        <v>1246</v>
      </c>
      <c r="B621" s="7" t="s">
        <v>517</v>
      </c>
      <c r="C621" s="7" t="s">
        <v>399</v>
      </c>
      <c r="D621" s="7" t="s">
        <v>62</v>
      </c>
      <c r="E621" s="7" t="s">
        <v>63</v>
      </c>
      <c r="F621" s="7" t="s">
        <v>64</v>
      </c>
      <c r="G621" s="7" t="s">
        <v>73</v>
      </c>
      <c r="H621" s="7" t="s">
        <v>74</v>
      </c>
      <c r="I621" s="7" t="s">
        <v>75</v>
      </c>
      <c r="J621" s="7" t="n">
        <v>4</v>
      </c>
      <c r="K621" s="8" t="n">
        <v>7079</v>
      </c>
      <c r="L621" s="9" t="n">
        <v>0.15</v>
      </c>
      <c r="M621" s="8" t="n">
        <v>10959.12</v>
      </c>
      <c r="N621" s="8" t="n">
        <f aca="false">J621*K621*(1-L621)</f>
        <v>24068.6</v>
      </c>
      <c r="O621" s="8" t="n">
        <f aca="false">N621-M621</f>
        <v>13109.48</v>
      </c>
      <c r="P621" s="10" t="n">
        <f aca="false">IFERROR(O621/N621,0)</f>
        <v>0.544671480684377</v>
      </c>
      <c r="Q621" s="7" t="str">
        <f aca="false">TEXT(B621,"mmm")</f>
        <v>Aug</v>
      </c>
      <c r="R621" s="7" t="str">
        <f aca="false">TEXT(B621,"yyyy-mm")</f>
        <v>2024-08</v>
      </c>
    </row>
    <row r="622" customFormat="false" ht="15" hidden="false" customHeight="false" outlineLevel="0" collapsed="false">
      <c r="A622" s="7" t="s">
        <v>1247</v>
      </c>
      <c r="B622" s="7" t="s">
        <v>929</v>
      </c>
      <c r="C622" s="7" t="s">
        <v>816</v>
      </c>
      <c r="D622" s="7" t="s">
        <v>206</v>
      </c>
      <c r="E622" s="7" t="s">
        <v>207</v>
      </c>
      <c r="F622" s="7" t="s">
        <v>88</v>
      </c>
      <c r="G622" s="7" t="s">
        <v>81</v>
      </c>
      <c r="H622" s="7" t="s">
        <v>82</v>
      </c>
      <c r="I622" s="7" t="s">
        <v>51</v>
      </c>
      <c r="J622" s="7" t="n">
        <v>7</v>
      </c>
      <c r="K622" s="8" t="n">
        <v>1029</v>
      </c>
      <c r="L622" s="9" t="n">
        <v>0</v>
      </c>
      <c r="M622" s="8" t="n">
        <v>4400.34</v>
      </c>
      <c r="N622" s="8" t="n">
        <f aca="false">J622*K622*(1-L622)</f>
        <v>7203</v>
      </c>
      <c r="O622" s="8" t="n">
        <f aca="false">N622-M622</f>
        <v>2802.66</v>
      </c>
      <c r="P622" s="10" t="n">
        <f aca="false">IFERROR(O622/N622,0)</f>
        <v>0.389096209912536</v>
      </c>
      <c r="Q622" s="7" t="str">
        <f aca="false">TEXT(B622,"mmm")</f>
        <v>May</v>
      </c>
      <c r="R622" s="7" t="str">
        <f aca="false">TEXT(B622,"yyyy-mm")</f>
        <v>2024-05</v>
      </c>
    </row>
    <row r="623" customFormat="false" ht="15" hidden="false" customHeight="false" outlineLevel="0" collapsed="false">
      <c r="A623" s="7" t="s">
        <v>1248</v>
      </c>
      <c r="B623" s="7" t="s">
        <v>654</v>
      </c>
      <c r="C623" s="7" t="s">
        <v>265</v>
      </c>
      <c r="D623" s="7" t="s">
        <v>124</v>
      </c>
      <c r="E623" s="7" t="s">
        <v>125</v>
      </c>
      <c r="F623" s="7" t="s">
        <v>64</v>
      </c>
      <c r="G623" s="7" t="s">
        <v>65</v>
      </c>
      <c r="H623" s="7" t="s">
        <v>106</v>
      </c>
      <c r="I623" s="7" t="s">
        <v>75</v>
      </c>
      <c r="J623" s="7" t="n">
        <v>4</v>
      </c>
      <c r="K623" s="8" t="n">
        <v>1349</v>
      </c>
      <c r="L623" s="9" t="n">
        <v>0</v>
      </c>
      <c r="M623" s="8" t="n">
        <v>2789.6</v>
      </c>
      <c r="N623" s="8" t="n">
        <f aca="false">J623*K623*(1-L623)</f>
        <v>5396</v>
      </c>
      <c r="O623" s="8" t="n">
        <f aca="false">N623-M623</f>
        <v>2606.4</v>
      </c>
      <c r="P623" s="10" t="n">
        <f aca="false">IFERROR(O623/N623,0)</f>
        <v>0.483024462564863</v>
      </c>
      <c r="Q623" s="7" t="str">
        <f aca="false">TEXT(B623,"mmm")</f>
        <v>Jun</v>
      </c>
      <c r="R623" s="7" t="str">
        <f aca="false">TEXT(B623,"yyyy-mm")</f>
        <v>2024-06</v>
      </c>
    </row>
    <row r="624" customFormat="false" ht="15" hidden="false" customHeight="false" outlineLevel="0" collapsed="false">
      <c r="A624" s="7" t="s">
        <v>1249</v>
      </c>
      <c r="B624" s="7" t="s">
        <v>1250</v>
      </c>
      <c r="C624" s="7" t="s">
        <v>1048</v>
      </c>
      <c r="D624" s="7" t="s">
        <v>181</v>
      </c>
      <c r="E624" s="7" t="s">
        <v>182</v>
      </c>
      <c r="F624" s="7" t="s">
        <v>88</v>
      </c>
      <c r="G624" s="7" t="s">
        <v>73</v>
      </c>
      <c r="H624" s="7" t="s">
        <v>266</v>
      </c>
      <c r="I624" s="7" t="s">
        <v>75</v>
      </c>
      <c r="J624" s="7" t="n">
        <v>3</v>
      </c>
      <c r="K624" s="8" t="n">
        <v>4489</v>
      </c>
      <c r="L624" s="9" t="n">
        <v>0</v>
      </c>
      <c r="M624" s="8" t="n">
        <v>5866.71</v>
      </c>
      <c r="N624" s="8" t="n">
        <f aca="false">J624*K624*(1-L624)</f>
        <v>13467</v>
      </c>
      <c r="O624" s="8" t="n">
        <f aca="false">N624-M624</f>
        <v>7600.29</v>
      </c>
      <c r="P624" s="10" t="n">
        <f aca="false">IFERROR(O624/N624,0)</f>
        <v>0.564364000891067</v>
      </c>
      <c r="Q624" s="7" t="str">
        <f aca="false">TEXT(B624,"mmm")</f>
        <v>Aug</v>
      </c>
      <c r="R624" s="7" t="str">
        <f aca="false">TEXT(B624,"yyyy-mm")</f>
        <v>2024-08</v>
      </c>
    </row>
    <row r="625" customFormat="false" ht="15" hidden="false" customHeight="false" outlineLevel="0" collapsed="false">
      <c r="A625" s="7" t="s">
        <v>1251</v>
      </c>
      <c r="B625" s="7" t="s">
        <v>1221</v>
      </c>
      <c r="C625" s="7" t="s">
        <v>353</v>
      </c>
      <c r="D625" s="7" t="s">
        <v>95</v>
      </c>
      <c r="E625" s="7" t="s">
        <v>96</v>
      </c>
      <c r="F625" s="7" t="s">
        <v>48</v>
      </c>
      <c r="G625" s="7" t="s">
        <v>49</v>
      </c>
      <c r="H625" s="7" t="s">
        <v>50</v>
      </c>
      <c r="I625" s="7" t="s">
        <v>51</v>
      </c>
      <c r="J625" s="7" t="n">
        <v>3</v>
      </c>
      <c r="K625" s="8" t="n">
        <v>5529</v>
      </c>
      <c r="L625" s="9" t="n">
        <v>0</v>
      </c>
      <c r="M625" s="8" t="n">
        <v>9348.78</v>
      </c>
      <c r="N625" s="8" t="n">
        <f aca="false">J625*K625*(1-L625)</f>
        <v>16587</v>
      </c>
      <c r="O625" s="8" t="n">
        <f aca="false">N625-M625</f>
        <v>7238.22</v>
      </c>
      <c r="P625" s="10" t="n">
        <f aca="false">IFERROR(O625/N625,0)</f>
        <v>0.436379092060047</v>
      </c>
      <c r="Q625" s="7" t="str">
        <f aca="false">TEXT(B625,"mmm")</f>
        <v>Oct</v>
      </c>
      <c r="R625" s="7" t="str">
        <f aca="false">TEXT(B625,"yyyy-mm")</f>
        <v>2024-10</v>
      </c>
    </row>
    <row r="626" customFormat="false" ht="15" hidden="false" customHeight="false" outlineLevel="0" collapsed="false">
      <c r="A626" s="7" t="s">
        <v>1252</v>
      </c>
      <c r="B626" s="7" t="s">
        <v>147</v>
      </c>
      <c r="C626" s="7" t="s">
        <v>94</v>
      </c>
      <c r="D626" s="7" t="s">
        <v>124</v>
      </c>
      <c r="E626" s="7" t="s">
        <v>125</v>
      </c>
      <c r="F626" s="7" t="s">
        <v>64</v>
      </c>
      <c r="G626" s="7" t="s">
        <v>81</v>
      </c>
      <c r="H626" s="7" t="s">
        <v>186</v>
      </c>
      <c r="I626" s="7" t="s">
        <v>51</v>
      </c>
      <c r="J626" s="7" t="n">
        <v>4</v>
      </c>
      <c r="K626" s="8" t="n">
        <v>1349</v>
      </c>
      <c r="L626" s="9" t="n">
        <v>0.05</v>
      </c>
      <c r="M626" s="8" t="n">
        <v>2789.6</v>
      </c>
      <c r="N626" s="8" t="n">
        <f aca="false">J626*K626*(1-L626)</f>
        <v>5126.2</v>
      </c>
      <c r="O626" s="8" t="n">
        <f aca="false">N626-M626</f>
        <v>2336.6</v>
      </c>
      <c r="P626" s="10" t="n">
        <f aca="false">IFERROR(O626/N626,0)</f>
        <v>0.455815223752487</v>
      </c>
      <c r="Q626" s="7" t="str">
        <f aca="false">TEXT(B626,"mmm")</f>
        <v>Jan</v>
      </c>
      <c r="R626" s="7" t="str">
        <f aca="false">TEXT(B626,"yyyy-mm")</f>
        <v>2024-01</v>
      </c>
    </row>
    <row r="627" customFormat="false" ht="15" hidden="false" customHeight="false" outlineLevel="0" collapsed="false">
      <c r="A627" s="7" t="s">
        <v>1253</v>
      </c>
      <c r="B627" s="7" t="s">
        <v>847</v>
      </c>
      <c r="C627" s="7" t="s">
        <v>307</v>
      </c>
      <c r="D627" s="7" t="s">
        <v>260</v>
      </c>
      <c r="E627" s="7" t="s">
        <v>261</v>
      </c>
      <c r="F627" s="7" t="s">
        <v>72</v>
      </c>
      <c r="G627" s="7" t="s">
        <v>49</v>
      </c>
      <c r="H627" s="7" t="s">
        <v>100</v>
      </c>
      <c r="I627" s="7" t="s">
        <v>51</v>
      </c>
      <c r="J627" s="7" t="n">
        <v>2</v>
      </c>
      <c r="K627" s="8" t="n">
        <v>4879</v>
      </c>
      <c r="L627" s="9" t="n">
        <v>0</v>
      </c>
      <c r="M627" s="8" t="n">
        <v>4867.46</v>
      </c>
      <c r="N627" s="8" t="n">
        <f aca="false">J627*K627*(1-L627)</f>
        <v>9758</v>
      </c>
      <c r="O627" s="8" t="n">
        <f aca="false">N627-M627</f>
        <v>4890.54</v>
      </c>
      <c r="P627" s="10" t="n">
        <f aca="false">IFERROR(O627/N627,0)</f>
        <v>0.501182619389219</v>
      </c>
      <c r="Q627" s="7" t="str">
        <f aca="false">TEXT(B627,"mmm")</f>
        <v>May</v>
      </c>
      <c r="R627" s="7" t="str">
        <f aca="false">TEXT(B627,"yyyy-mm")</f>
        <v>2024-05</v>
      </c>
    </row>
    <row r="628" customFormat="false" ht="15" hidden="false" customHeight="false" outlineLevel="0" collapsed="false">
      <c r="A628" s="7" t="s">
        <v>1254</v>
      </c>
      <c r="B628" s="7" t="s">
        <v>944</v>
      </c>
      <c r="C628" s="7" t="s">
        <v>185</v>
      </c>
      <c r="D628" s="7" t="s">
        <v>244</v>
      </c>
      <c r="E628" s="7" t="s">
        <v>245</v>
      </c>
      <c r="F628" s="7" t="s">
        <v>88</v>
      </c>
      <c r="G628" s="7" t="s">
        <v>65</v>
      </c>
      <c r="H628" s="7" t="s">
        <v>217</v>
      </c>
      <c r="I628" s="7" t="s">
        <v>51</v>
      </c>
      <c r="J628" s="7" t="n">
        <v>2</v>
      </c>
      <c r="K628" s="8" t="n">
        <v>5319</v>
      </c>
      <c r="L628" s="9" t="n">
        <v>0</v>
      </c>
      <c r="M628" s="8" t="n">
        <v>6171.66</v>
      </c>
      <c r="N628" s="8" t="n">
        <f aca="false">J628*K628*(1-L628)</f>
        <v>10638</v>
      </c>
      <c r="O628" s="8" t="n">
        <f aca="false">N628-M628</f>
        <v>4466.34</v>
      </c>
      <c r="P628" s="10" t="n">
        <f aca="false">IFERROR(O628/N628,0)</f>
        <v>0.419847715736041</v>
      </c>
      <c r="Q628" s="7" t="str">
        <f aca="false">TEXT(B628,"mmm")</f>
        <v>Dec</v>
      </c>
      <c r="R628" s="7" t="str">
        <f aca="false">TEXT(B628,"yyyy-mm")</f>
        <v>2024-12</v>
      </c>
    </row>
    <row r="629" customFormat="false" ht="15" hidden="false" customHeight="false" outlineLevel="0" collapsed="false">
      <c r="A629" s="7" t="s">
        <v>1255</v>
      </c>
      <c r="B629" s="7" t="s">
        <v>475</v>
      </c>
      <c r="C629" s="7" t="s">
        <v>307</v>
      </c>
      <c r="D629" s="7" t="s">
        <v>176</v>
      </c>
      <c r="E629" s="7" t="s">
        <v>177</v>
      </c>
      <c r="F629" s="7" t="s">
        <v>72</v>
      </c>
      <c r="G629" s="7" t="s">
        <v>73</v>
      </c>
      <c r="H629" s="7" t="s">
        <v>211</v>
      </c>
      <c r="I629" s="7" t="s">
        <v>75</v>
      </c>
      <c r="J629" s="7" t="n">
        <v>8</v>
      </c>
      <c r="K629" s="8" t="n">
        <v>3969</v>
      </c>
      <c r="L629" s="9" t="n">
        <v>0</v>
      </c>
      <c r="M629" s="8" t="n">
        <v>17183.76</v>
      </c>
      <c r="N629" s="8" t="n">
        <f aca="false">J629*K629*(1-L629)</f>
        <v>31752</v>
      </c>
      <c r="O629" s="8" t="n">
        <f aca="false">N629-M629</f>
        <v>14568.24</v>
      </c>
      <c r="P629" s="10" t="n">
        <f aca="false">IFERROR(O629/N629,0)</f>
        <v>0.458813303099017</v>
      </c>
      <c r="Q629" s="7" t="str">
        <f aca="false">TEXT(B629,"mmm")</f>
        <v>Oct</v>
      </c>
      <c r="R629" s="7" t="str">
        <f aca="false">TEXT(B629,"yyyy-mm")</f>
        <v>2024-10</v>
      </c>
    </row>
    <row r="630" customFormat="false" ht="15" hidden="false" customHeight="false" outlineLevel="0" collapsed="false">
      <c r="A630" s="7" t="s">
        <v>1256</v>
      </c>
      <c r="B630" s="7" t="s">
        <v>1257</v>
      </c>
      <c r="C630" s="7" t="s">
        <v>676</v>
      </c>
      <c r="D630" s="7" t="s">
        <v>79</v>
      </c>
      <c r="E630" s="7" t="s">
        <v>80</v>
      </c>
      <c r="F630" s="7" t="s">
        <v>72</v>
      </c>
      <c r="G630" s="7" t="s">
        <v>49</v>
      </c>
      <c r="H630" s="7" t="s">
        <v>100</v>
      </c>
      <c r="I630" s="7" t="s">
        <v>51</v>
      </c>
      <c r="J630" s="7" t="n">
        <v>1</v>
      </c>
      <c r="K630" s="8" t="n">
        <v>4769</v>
      </c>
      <c r="L630" s="9" t="n">
        <v>0</v>
      </c>
      <c r="M630" s="8" t="n">
        <v>2724.81</v>
      </c>
      <c r="N630" s="8" t="n">
        <f aca="false">J630*K630*(1-L630)</f>
        <v>4769</v>
      </c>
      <c r="O630" s="8" t="n">
        <f aca="false">N630-M630</f>
        <v>2044.19</v>
      </c>
      <c r="P630" s="10" t="n">
        <f aca="false">IFERROR(O630/N630,0)</f>
        <v>0.428641224575383</v>
      </c>
      <c r="Q630" s="7" t="str">
        <f aca="false">TEXT(B630,"mmm")</f>
        <v>Mar</v>
      </c>
      <c r="R630" s="7" t="str">
        <f aca="false">TEXT(B630,"yyyy-mm")</f>
        <v>2024-03</v>
      </c>
    </row>
    <row r="631" customFormat="false" ht="15" hidden="false" customHeight="false" outlineLevel="0" collapsed="false">
      <c r="A631" s="7" t="s">
        <v>1258</v>
      </c>
      <c r="B631" s="7" t="s">
        <v>152</v>
      </c>
      <c r="C631" s="7" t="s">
        <v>518</v>
      </c>
      <c r="D631" s="7" t="s">
        <v>295</v>
      </c>
      <c r="E631" s="7" t="s">
        <v>296</v>
      </c>
      <c r="F631" s="7" t="s">
        <v>64</v>
      </c>
      <c r="G631" s="7" t="s">
        <v>49</v>
      </c>
      <c r="H631" s="7" t="s">
        <v>50</v>
      </c>
      <c r="I631" s="7" t="s">
        <v>75</v>
      </c>
      <c r="J631" s="7" t="n">
        <v>4</v>
      </c>
      <c r="K631" s="8" t="n">
        <v>1249</v>
      </c>
      <c r="L631" s="9" t="n">
        <v>0</v>
      </c>
      <c r="M631" s="8" t="n">
        <v>3669.24</v>
      </c>
      <c r="N631" s="8" t="n">
        <f aca="false">J631*K631*(1-L631)</f>
        <v>4996</v>
      </c>
      <c r="O631" s="8" t="n">
        <f aca="false">N631-M631</f>
        <v>1326.76</v>
      </c>
      <c r="P631" s="10" t="n">
        <f aca="false">IFERROR(O631/N631,0)</f>
        <v>0.265564451561249</v>
      </c>
      <c r="Q631" s="7" t="str">
        <f aca="false">TEXT(B631,"mmm")</f>
        <v>Dec</v>
      </c>
      <c r="R631" s="7" t="str">
        <f aca="false">TEXT(B631,"yyyy-mm")</f>
        <v>2024-12</v>
      </c>
    </row>
    <row r="632" customFormat="false" ht="15" hidden="false" customHeight="false" outlineLevel="0" collapsed="false">
      <c r="A632" s="7" t="s">
        <v>1259</v>
      </c>
      <c r="B632" s="7" t="s">
        <v>1182</v>
      </c>
      <c r="C632" s="7" t="s">
        <v>507</v>
      </c>
      <c r="D632" s="7" t="s">
        <v>360</v>
      </c>
      <c r="E632" s="7" t="s">
        <v>361</v>
      </c>
      <c r="F632" s="7" t="s">
        <v>48</v>
      </c>
      <c r="G632" s="7" t="s">
        <v>49</v>
      </c>
      <c r="H632" s="7" t="s">
        <v>100</v>
      </c>
      <c r="I632" s="7" t="s">
        <v>51</v>
      </c>
      <c r="J632" s="7" t="n">
        <v>3</v>
      </c>
      <c r="K632" s="8" t="n">
        <v>679</v>
      </c>
      <c r="L632" s="9" t="n">
        <v>0.1</v>
      </c>
      <c r="M632" s="8" t="n">
        <v>1382.1</v>
      </c>
      <c r="N632" s="8" t="n">
        <f aca="false">J632*K632*(1-L632)</f>
        <v>1833.3</v>
      </c>
      <c r="O632" s="8" t="n">
        <f aca="false">N632-M632</f>
        <v>451.2</v>
      </c>
      <c r="P632" s="10" t="n">
        <f aca="false">IFERROR(O632/N632,0)</f>
        <v>0.246113565701195</v>
      </c>
      <c r="Q632" s="7" t="str">
        <f aca="false">TEXT(B632,"mmm")</f>
        <v>Mar</v>
      </c>
      <c r="R632" s="7" t="str">
        <f aca="false">TEXT(B632,"yyyy-mm")</f>
        <v>2024-03</v>
      </c>
    </row>
    <row r="633" customFormat="false" ht="15" hidden="false" customHeight="false" outlineLevel="0" collapsed="false">
      <c r="A633" s="7" t="s">
        <v>1260</v>
      </c>
      <c r="B633" s="7" t="s">
        <v>545</v>
      </c>
      <c r="C633" s="7" t="s">
        <v>349</v>
      </c>
      <c r="D633" s="7" t="s">
        <v>244</v>
      </c>
      <c r="E633" s="7" t="s">
        <v>245</v>
      </c>
      <c r="F633" s="7" t="s">
        <v>88</v>
      </c>
      <c r="G633" s="7" t="s">
        <v>73</v>
      </c>
      <c r="H633" s="7" t="s">
        <v>115</v>
      </c>
      <c r="I633" s="7" t="s">
        <v>75</v>
      </c>
      <c r="J633" s="7" t="n">
        <v>1</v>
      </c>
      <c r="K633" s="8" t="n">
        <v>5319</v>
      </c>
      <c r="L633" s="9" t="n">
        <v>0</v>
      </c>
      <c r="M633" s="8" t="n">
        <v>3085.83</v>
      </c>
      <c r="N633" s="8" t="n">
        <f aca="false">J633*K633*(1-L633)</f>
        <v>5319</v>
      </c>
      <c r="O633" s="8" t="n">
        <f aca="false">N633-M633</f>
        <v>2233.17</v>
      </c>
      <c r="P633" s="10" t="n">
        <f aca="false">IFERROR(O633/N633,0)</f>
        <v>0.419847715736041</v>
      </c>
      <c r="Q633" s="7" t="str">
        <f aca="false">TEXT(B633,"mmm")</f>
        <v>Jul</v>
      </c>
      <c r="R633" s="7" t="str">
        <f aca="false">TEXT(B633,"yyyy-mm")</f>
        <v>2024-07</v>
      </c>
    </row>
    <row r="634" customFormat="false" ht="15" hidden="false" customHeight="false" outlineLevel="0" collapsed="false">
      <c r="A634" s="7" t="s">
        <v>1261</v>
      </c>
      <c r="B634" s="7" t="s">
        <v>701</v>
      </c>
      <c r="C634" s="7" t="s">
        <v>734</v>
      </c>
      <c r="D634" s="7" t="s">
        <v>154</v>
      </c>
      <c r="E634" s="7" t="s">
        <v>155</v>
      </c>
      <c r="F634" s="7" t="s">
        <v>57</v>
      </c>
      <c r="G634" s="7" t="s">
        <v>81</v>
      </c>
      <c r="H634" s="7" t="s">
        <v>82</v>
      </c>
      <c r="I634" s="7" t="s">
        <v>51</v>
      </c>
      <c r="J634" s="7" t="n">
        <v>5</v>
      </c>
      <c r="K634" s="8" t="n">
        <v>2949</v>
      </c>
      <c r="L634" s="9" t="n">
        <v>0.2</v>
      </c>
      <c r="M634" s="8" t="n">
        <v>7776.95</v>
      </c>
      <c r="N634" s="8" t="n">
        <f aca="false">J634*K634*(1-L634)</f>
        <v>11796</v>
      </c>
      <c r="O634" s="8" t="n">
        <f aca="false">N634-M634</f>
        <v>4019.05</v>
      </c>
      <c r="P634" s="10" t="n">
        <f aca="false">IFERROR(O634/N634,0)</f>
        <v>0.340712953543574</v>
      </c>
      <c r="Q634" s="7" t="str">
        <f aca="false">TEXT(B634,"mmm")</f>
        <v>Dec</v>
      </c>
      <c r="R634" s="7" t="str">
        <f aca="false">TEXT(B634,"yyyy-mm")</f>
        <v>2024-12</v>
      </c>
    </row>
    <row r="635" customFormat="false" ht="15" hidden="false" customHeight="false" outlineLevel="0" collapsed="false">
      <c r="A635" s="7" t="s">
        <v>1262</v>
      </c>
      <c r="B635" s="7" t="s">
        <v>385</v>
      </c>
      <c r="C635" s="7" t="s">
        <v>1000</v>
      </c>
      <c r="D635" s="7" t="s">
        <v>149</v>
      </c>
      <c r="E635" s="7" t="s">
        <v>150</v>
      </c>
      <c r="F635" s="7" t="s">
        <v>88</v>
      </c>
      <c r="G635" s="7" t="s">
        <v>81</v>
      </c>
      <c r="H635" s="7" t="s">
        <v>186</v>
      </c>
      <c r="I635" s="7" t="s">
        <v>51</v>
      </c>
      <c r="J635" s="7" t="n">
        <v>2</v>
      </c>
      <c r="K635" s="8" t="n">
        <v>5219</v>
      </c>
      <c r="L635" s="9" t="n">
        <v>0.25</v>
      </c>
      <c r="M635" s="8" t="n">
        <v>6982.08</v>
      </c>
      <c r="N635" s="8" t="n">
        <f aca="false">J635*K635*(1-L635)</f>
        <v>7828.5</v>
      </c>
      <c r="O635" s="8" t="n">
        <f aca="false">N635-M635</f>
        <v>846.42</v>
      </c>
      <c r="P635" s="10" t="n">
        <f aca="false">IFERROR(O635/N635,0)</f>
        <v>0.108120329565051</v>
      </c>
      <c r="Q635" s="7" t="str">
        <f aca="false">TEXT(B635,"mmm")</f>
        <v>Jul</v>
      </c>
      <c r="R635" s="7" t="str">
        <f aca="false">TEXT(B635,"yyyy-mm")</f>
        <v>2024-07</v>
      </c>
    </row>
    <row r="636" customFormat="false" ht="15" hidden="false" customHeight="false" outlineLevel="0" collapsed="false">
      <c r="A636" s="7" t="s">
        <v>1263</v>
      </c>
      <c r="B636" s="7" t="s">
        <v>749</v>
      </c>
      <c r="C636" s="7" t="s">
        <v>1000</v>
      </c>
      <c r="D636" s="7" t="s">
        <v>227</v>
      </c>
      <c r="E636" s="7" t="s">
        <v>228</v>
      </c>
      <c r="F636" s="7" t="s">
        <v>64</v>
      </c>
      <c r="G636" s="7" t="s">
        <v>65</v>
      </c>
      <c r="H636" s="7" t="s">
        <v>106</v>
      </c>
      <c r="I636" s="7" t="s">
        <v>51</v>
      </c>
      <c r="J636" s="7" t="n">
        <v>5</v>
      </c>
      <c r="K636" s="8" t="n">
        <v>5529</v>
      </c>
      <c r="L636" s="9" t="n">
        <v>0.25</v>
      </c>
      <c r="M636" s="8" t="n">
        <v>15263.6</v>
      </c>
      <c r="N636" s="8" t="n">
        <f aca="false">J636*K636*(1-L636)</f>
        <v>20733.75</v>
      </c>
      <c r="O636" s="8" t="n">
        <f aca="false">N636-M636</f>
        <v>5470.15</v>
      </c>
      <c r="P636" s="10" t="n">
        <f aca="false">IFERROR(O636/N636,0)</f>
        <v>0.263828299270513</v>
      </c>
      <c r="Q636" s="7" t="str">
        <f aca="false">TEXT(B636,"mmm")</f>
        <v>Dec</v>
      </c>
      <c r="R636" s="7" t="str">
        <f aca="false">TEXT(B636,"yyyy-mm")</f>
        <v>2024-12</v>
      </c>
    </row>
    <row r="637" customFormat="false" ht="15" hidden="false" customHeight="false" outlineLevel="0" collapsed="false">
      <c r="A637" s="7" t="s">
        <v>1264</v>
      </c>
      <c r="B637" s="7" t="s">
        <v>691</v>
      </c>
      <c r="C637" s="7" t="s">
        <v>744</v>
      </c>
      <c r="D637" s="7" t="s">
        <v>441</v>
      </c>
      <c r="E637" s="7" t="s">
        <v>442</v>
      </c>
      <c r="F637" s="7" t="s">
        <v>64</v>
      </c>
      <c r="G637" s="7" t="s">
        <v>49</v>
      </c>
      <c r="H637" s="7" t="s">
        <v>58</v>
      </c>
      <c r="I637" s="7" t="s">
        <v>75</v>
      </c>
      <c r="J637" s="7" t="n">
        <v>1</v>
      </c>
      <c r="K637" s="8" t="n">
        <v>3349</v>
      </c>
      <c r="L637" s="9" t="n">
        <v>0.1</v>
      </c>
      <c r="M637" s="8" t="n">
        <v>2190.59</v>
      </c>
      <c r="N637" s="8" t="n">
        <f aca="false">J637*K637*(1-L637)</f>
        <v>3014.1</v>
      </c>
      <c r="O637" s="8" t="n">
        <f aca="false">N637-M637</f>
        <v>823.51</v>
      </c>
      <c r="P637" s="10" t="n">
        <f aca="false">IFERROR(O637/N637,0)</f>
        <v>0.273219203078863</v>
      </c>
      <c r="Q637" s="7" t="str">
        <f aca="false">TEXT(B637,"mmm")</f>
        <v>Jun</v>
      </c>
      <c r="R637" s="7" t="str">
        <f aca="false">TEXT(B637,"yyyy-mm")</f>
        <v>2024-06</v>
      </c>
    </row>
    <row r="638" customFormat="false" ht="15" hidden="false" customHeight="false" outlineLevel="0" collapsed="false">
      <c r="A638" s="7" t="s">
        <v>1265</v>
      </c>
      <c r="B638" s="7" t="s">
        <v>1266</v>
      </c>
      <c r="C638" s="7" t="s">
        <v>263</v>
      </c>
      <c r="D638" s="7" t="s">
        <v>149</v>
      </c>
      <c r="E638" s="7" t="s">
        <v>150</v>
      </c>
      <c r="F638" s="7" t="s">
        <v>88</v>
      </c>
      <c r="G638" s="7" t="s">
        <v>49</v>
      </c>
      <c r="H638" s="7" t="s">
        <v>50</v>
      </c>
      <c r="I638" s="7" t="s">
        <v>51</v>
      </c>
      <c r="J638" s="7" t="n">
        <v>2</v>
      </c>
      <c r="K638" s="8" t="n">
        <v>5219</v>
      </c>
      <c r="L638" s="9" t="n">
        <v>0.2</v>
      </c>
      <c r="M638" s="8" t="n">
        <v>6982.08</v>
      </c>
      <c r="N638" s="8" t="n">
        <f aca="false">J638*K638*(1-L638)</f>
        <v>8350.4</v>
      </c>
      <c r="O638" s="8" t="n">
        <f aca="false">N638-M638</f>
        <v>1368.32</v>
      </c>
      <c r="P638" s="10" t="n">
        <f aca="false">IFERROR(O638/N638,0)</f>
        <v>0.163862808967235</v>
      </c>
      <c r="Q638" s="7" t="str">
        <f aca="false">TEXT(B638,"mmm")</f>
        <v>Jun</v>
      </c>
      <c r="R638" s="7" t="str">
        <f aca="false">TEXT(B638,"yyyy-mm")</f>
        <v>2024-06</v>
      </c>
    </row>
    <row r="639" customFormat="false" ht="15" hidden="false" customHeight="false" outlineLevel="0" collapsed="false">
      <c r="A639" s="7" t="s">
        <v>1267</v>
      </c>
      <c r="B639" s="7" t="s">
        <v>1268</v>
      </c>
      <c r="C639" s="7" t="s">
        <v>1000</v>
      </c>
      <c r="D639" s="7" t="s">
        <v>244</v>
      </c>
      <c r="E639" s="7" t="s">
        <v>245</v>
      </c>
      <c r="F639" s="7" t="s">
        <v>88</v>
      </c>
      <c r="G639" s="7" t="s">
        <v>73</v>
      </c>
      <c r="H639" s="7" t="s">
        <v>266</v>
      </c>
      <c r="I639" s="7" t="s">
        <v>75</v>
      </c>
      <c r="J639" s="7" t="n">
        <v>2</v>
      </c>
      <c r="K639" s="8" t="n">
        <v>5319</v>
      </c>
      <c r="L639" s="9" t="n">
        <v>0.1</v>
      </c>
      <c r="M639" s="8" t="n">
        <v>6171.66</v>
      </c>
      <c r="N639" s="8" t="n">
        <f aca="false">J639*K639*(1-L639)</f>
        <v>9574.2</v>
      </c>
      <c r="O639" s="8" t="n">
        <f aca="false">N639-M639</f>
        <v>3402.54</v>
      </c>
      <c r="P639" s="10" t="n">
        <f aca="false">IFERROR(O639/N639,0)</f>
        <v>0.355386350817823</v>
      </c>
      <c r="Q639" s="7" t="str">
        <f aca="false">TEXT(B639,"mmm")</f>
        <v>Jun</v>
      </c>
      <c r="R639" s="7" t="str">
        <f aca="false">TEXT(B639,"yyyy-mm")</f>
        <v>2024-06</v>
      </c>
    </row>
    <row r="640" customFormat="false" ht="15" hidden="false" customHeight="false" outlineLevel="0" collapsed="false">
      <c r="A640" s="7" t="s">
        <v>1269</v>
      </c>
      <c r="B640" s="7" t="s">
        <v>799</v>
      </c>
      <c r="C640" s="7" t="s">
        <v>330</v>
      </c>
      <c r="D640" s="7" t="s">
        <v>295</v>
      </c>
      <c r="E640" s="7" t="s">
        <v>296</v>
      </c>
      <c r="F640" s="7" t="s">
        <v>64</v>
      </c>
      <c r="G640" s="7" t="s">
        <v>65</v>
      </c>
      <c r="H640" s="7" t="s">
        <v>126</v>
      </c>
      <c r="I640" s="7" t="s">
        <v>51</v>
      </c>
      <c r="J640" s="7" t="n">
        <v>5</v>
      </c>
      <c r="K640" s="8" t="n">
        <v>1249</v>
      </c>
      <c r="L640" s="9" t="n">
        <v>0.2</v>
      </c>
      <c r="M640" s="8" t="n">
        <v>4586.55</v>
      </c>
      <c r="N640" s="8" t="n">
        <f aca="false">J640*K640*(1-L640)</f>
        <v>4996</v>
      </c>
      <c r="O640" s="8" t="n">
        <f aca="false">N640-M640</f>
        <v>409.45</v>
      </c>
      <c r="P640" s="10" t="n">
        <f aca="false">IFERROR(O640/N640,0)</f>
        <v>0.0819555644515612</v>
      </c>
      <c r="Q640" s="7" t="str">
        <f aca="false">TEXT(B640,"mmm")</f>
        <v>Oct</v>
      </c>
      <c r="R640" s="7" t="str">
        <f aca="false">TEXT(B640,"yyyy-mm")</f>
        <v>2024-10</v>
      </c>
    </row>
    <row r="641" customFormat="false" ht="15" hidden="false" customHeight="false" outlineLevel="0" collapsed="false">
      <c r="A641" s="7" t="s">
        <v>1270</v>
      </c>
      <c r="B641" s="7" t="s">
        <v>1146</v>
      </c>
      <c r="C641" s="7" t="s">
        <v>467</v>
      </c>
      <c r="D641" s="7" t="s">
        <v>464</v>
      </c>
      <c r="E641" s="7" t="s">
        <v>465</v>
      </c>
      <c r="F641" s="7" t="s">
        <v>48</v>
      </c>
      <c r="G641" s="7" t="s">
        <v>81</v>
      </c>
      <c r="H641" s="7" t="s">
        <v>109</v>
      </c>
      <c r="I641" s="7" t="s">
        <v>51</v>
      </c>
      <c r="J641" s="7" t="n">
        <v>3</v>
      </c>
      <c r="K641" s="8" t="n">
        <v>799</v>
      </c>
      <c r="L641" s="9" t="n">
        <v>0.2</v>
      </c>
      <c r="M641" s="8" t="n">
        <v>1241.94</v>
      </c>
      <c r="N641" s="8" t="n">
        <f aca="false">J641*K641*(1-L641)</f>
        <v>1917.6</v>
      </c>
      <c r="O641" s="8" t="n">
        <f aca="false">N641-M641</f>
        <v>675.66</v>
      </c>
      <c r="P641" s="10" t="n">
        <f aca="false">IFERROR(O641/N641,0)</f>
        <v>0.352346683354193</v>
      </c>
      <c r="Q641" s="7" t="str">
        <f aca="false">TEXT(B641,"mmm")</f>
        <v>Dec</v>
      </c>
      <c r="R641" s="7" t="str">
        <f aca="false">TEXT(B641,"yyyy-mm")</f>
        <v>2024-12</v>
      </c>
    </row>
    <row r="642" customFormat="false" ht="15" hidden="false" customHeight="false" outlineLevel="0" collapsed="false">
      <c r="A642" s="7" t="s">
        <v>1271</v>
      </c>
      <c r="B642" s="7" t="s">
        <v>749</v>
      </c>
      <c r="C642" s="7" t="s">
        <v>603</v>
      </c>
      <c r="D642" s="7" t="s">
        <v>104</v>
      </c>
      <c r="E642" s="7" t="s">
        <v>105</v>
      </c>
      <c r="F642" s="7" t="s">
        <v>48</v>
      </c>
      <c r="G642" s="7" t="s">
        <v>336</v>
      </c>
      <c r="H642" s="7" t="s">
        <v>336</v>
      </c>
      <c r="I642" s="7" t="s">
        <v>51</v>
      </c>
      <c r="J642" s="7" t="n">
        <v>3</v>
      </c>
      <c r="K642" s="8" t="n">
        <v>2000</v>
      </c>
      <c r="L642" s="9" t="n">
        <v>0.05</v>
      </c>
      <c r="M642" s="8" t="n">
        <v>2613.9</v>
      </c>
      <c r="N642" s="8" t="n">
        <f aca="false">J642*K642*(1-L642)</f>
        <v>5700</v>
      </c>
      <c r="O642" s="8" t="n">
        <f aca="false">N642-M642</f>
        <v>3086.1</v>
      </c>
      <c r="P642" s="10" t="n">
        <f aca="false">IFERROR(O642/N642,0)</f>
        <v>0.541421052631579</v>
      </c>
      <c r="Q642" s="7" t="str">
        <f aca="false">TEXT(B642,"mmm")</f>
        <v>Dec</v>
      </c>
      <c r="R642" s="7" t="str">
        <f aca="false">TEXT(B642,"yyyy-mm")</f>
        <v>2024-12</v>
      </c>
    </row>
    <row r="643" customFormat="false" ht="15" hidden="false" customHeight="false" outlineLevel="0" collapsed="false">
      <c r="A643" s="7" t="s">
        <v>1272</v>
      </c>
      <c r="B643" s="7" t="s">
        <v>77</v>
      </c>
      <c r="C643" s="7" t="s">
        <v>118</v>
      </c>
      <c r="D643" s="7" t="s">
        <v>86</v>
      </c>
      <c r="E643" s="7" t="s">
        <v>87</v>
      </c>
      <c r="F643" s="7" t="s">
        <v>88</v>
      </c>
      <c r="G643" s="7" t="s">
        <v>81</v>
      </c>
      <c r="H643" s="7" t="s">
        <v>82</v>
      </c>
      <c r="I643" s="7" t="s">
        <v>51</v>
      </c>
      <c r="J643" s="7" t="n">
        <v>6</v>
      </c>
      <c r="K643" s="8" t="n">
        <v>3719</v>
      </c>
      <c r="L643" s="9" t="n">
        <v>0.15</v>
      </c>
      <c r="M643" s="8" t="n">
        <v>8852.22</v>
      </c>
      <c r="N643" s="8" t="n">
        <f aca="false">J643*K643*(1-L643)</f>
        <v>18966.9</v>
      </c>
      <c r="O643" s="8" t="n">
        <f aca="false">N643-M643</f>
        <v>10114.68</v>
      </c>
      <c r="P643" s="10" t="n">
        <f aca="false">IFERROR(O643/N643,0)</f>
        <v>0.533280609904623</v>
      </c>
      <c r="Q643" s="7" t="str">
        <f aca="false">TEXT(B643,"mmm")</f>
        <v>Nov</v>
      </c>
      <c r="R643" s="7" t="str">
        <f aca="false">TEXT(B643,"yyyy-mm")</f>
        <v>2024-11</v>
      </c>
    </row>
    <row r="644" customFormat="false" ht="15" hidden="false" customHeight="false" outlineLevel="0" collapsed="false">
      <c r="A644" s="7" t="s">
        <v>1273</v>
      </c>
      <c r="B644" s="7" t="s">
        <v>526</v>
      </c>
      <c r="C644" s="7" t="s">
        <v>307</v>
      </c>
      <c r="D644" s="7" t="s">
        <v>441</v>
      </c>
      <c r="E644" s="7" t="s">
        <v>442</v>
      </c>
      <c r="F644" s="7" t="s">
        <v>64</v>
      </c>
      <c r="G644" s="7" t="s">
        <v>49</v>
      </c>
      <c r="H644" s="7" t="s">
        <v>58</v>
      </c>
      <c r="I644" s="7" t="s">
        <v>75</v>
      </c>
      <c r="J644" s="7" t="n">
        <v>6</v>
      </c>
      <c r="K644" s="8" t="n">
        <v>3349</v>
      </c>
      <c r="L644" s="9" t="n">
        <v>0.25</v>
      </c>
      <c r="M644" s="8" t="n">
        <v>13143.54</v>
      </c>
      <c r="N644" s="8" t="n">
        <f aca="false">J644*K644*(1-L644)</f>
        <v>15070.5</v>
      </c>
      <c r="O644" s="8" t="n">
        <f aca="false">N644-M644</f>
        <v>1926.96</v>
      </c>
      <c r="P644" s="10" t="n">
        <f aca="false">IFERROR(O644/N644,0)</f>
        <v>0.127863043694635</v>
      </c>
      <c r="Q644" s="7" t="str">
        <f aca="false">TEXT(B644,"mmm")</f>
        <v>Jan</v>
      </c>
      <c r="R644" s="7" t="str">
        <f aca="false">TEXT(B644,"yyyy-mm")</f>
        <v>2024-01</v>
      </c>
    </row>
    <row r="645" customFormat="false" ht="15" hidden="false" customHeight="false" outlineLevel="0" collapsed="false">
      <c r="A645" s="7" t="s">
        <v>1274</v>
      </c>
      <c r="B645" s="7" t="s">
        <v>1050</v>
      </c>
      <c r="C645" s="7" t="s">
        <v>537</v>
      </c>
      <c r="D645" s="7" t="s">
        <v>154</v>
      </c>
      <c r="E645" s="7" t="s">
        <v>155</v>
      </c>
      <c r="F645" s="7" t="s">
        <v>57</v>
      </c>
      <c r="G645" s="7" t="s">
        <v>65</v>
      </c>
      <c r="H645" s="7" t="s">
        <v>106</v>
      </c>
      <c r="I645" s="7" t="s">
        <v>75</v>
      </c>
      <c r="J645" s="7" t="n">
        <v>4</v>
      </c>
      <c r="K645" s="8" t="n">
        <v>2949</v>
      </c>
      <c r="L645" s="9" t="n">
        <v>0.2</v>
      </c>
      <c r="M645" s="8" t="n">
        <v>6221.56</v>
      </c>
      <c r="N645" s="8" t="n">
        <f aca="false">J645*K645*(1-L645)</f>
        <v>9436.8</v>
      </c>
      <c r="O645" s="8" t="n">
        <f aca="false">N645-M645</f>
        <v>3215.24</v>
      </c>
      <c r="P645" s="10" t="n">
        <f aca="false">IFERROR(O645/N645,0)</f>
        <v>0.340712953543574</v>
      </c>
      <c r="Q645" s="7" t="str">
        <f aca="false">TEXT(B645,"mmm")</f>
        <v>Aug</v>
      </c>
      <c r="R645" s="7" t="str">
        <f aca="false">TEXT(B645,"yyyy-mm")</f>
        <v>2024-08</v>
      </c>
    </row>
    <row r="646" customFormat="false" ht="15" hidden="false" customHeight="false" outlineLevel="0" collapsed="false">
      <c r="A646" s="7" t="s">
        <v>1275</v>
      </c>
      <c r="B646" s="7" t="s">
        <v>1052</v>
      </c>
      <c r="C646" s="7" t="s">
        <v>383</v>
      </c>
      <c r="D646" s="7" t="s">
        <v>201</v>
      </c>
      <c r="E646" s="7" t="s">
        <v>202</v>
      </c>
      <c r="F646" s="7" t="s">
        <v>72</v>
      </c>
      <c r="G646" s="7" t="s">
        <v>73</v>
      </c>
      <c r="H646" s="7" t="s">
        <v>211</v>
      </c>
      <c r="I646" s="7" t="s">
        <v>75</v>
      </c>
      <c r="J646" s="7" t="n">
        <v>2</v>
      </c>
      <c r="K646" s="8" t="n">
        <v>3990</v>
      </c>
      <c r="L646" s="9" t="n">
        <v>0.2</v>
      </c>
      <c r="M646" s="8" t="n">
        <v>6067.22</v>
      </c>
      <c r="N646" s="8" t="n">
        <f aca="false">J646*K646*(1-L646)</f>
        <v>6384</v>
      </c>
      <c r="O646" s="8" t="n">
        <f aca="false">N646-M646</f>
        <v>316.78</v>
      </c>
      <c r="P646" s="10" t="n">
        <f aca="false">IFERROR(O646/N646,0)</f>
        <v>0.0496209273182957</v>
      </c>
      <c r="Q646" s="7" t="str">
        <f aca="false">TEXT(B646,"mmm")</f>
        <v>Nov</v>
      </c>
      <c r="R646" s="7" t="str">
        <f aca="false">TEXT(B646,"yyyy-mm")</f>
        <v>2024-11</v>
      </c>
    </row>
    <row r="647" customFormat="false" ht="15" hidden="false" customHeight="false" outlineLevel="0" collapsed="false">
      <c r="A647" s="7" t="s">
        <v>1276</v>
      </c>
      <c r="B647" s="7" t="s">
        <v>614</v>
      </c>
      <c r="C647" s="7" t="s">
        <v>148</v>
      </c>
      <c r="D647" s="7" t="s">
        <v>314</v>
      </c>
      <c r="E647" s="7" t="s">
        <v>315</v>
      </c>
      <c r="F647" s="7" t="s">
        <v>64</v>
      </c>
      <c r="G647" s="7" t="s">
        <v>65</v>
      </c>
      <c r="H647" s="7" t="s">
        <v>126</v>
      </c>
      <c r="I647" s="7" t="s">
        <v>51</v>
      </c>
      <c r="J647" s="7" t="n">
        <v>6</v>
      </c>
      <c r="K647" s="8" t="n">
        <v>4059</v>
      </c>
      <c r="L647" s="9" t="n">
        <v>0</v>
      </c>
      <c r="M647" s="8" t="n">
        <v>13677.24</v>
      </c>
      <c r="N647" s="8" t="n">
        <f aca="false">J647*K647*(1-L647)</f>
        <v>24354</v>
      </c>
      <c r="O647" s="8" t="n">
        <f aca="false">N647-M647</f>
        <v>10676.76</v>
      </c>
      <c r="P647" s="10" t="n">
        <f aca="false">IFERROR(O647/N647,0)</f>
        <v>0.43839862034984</v>
      </c>
      <c r="Q647" s="7" t="str">
        <f aca="false">TEXT(B647,"mmm")</f>
        <v>Jul</v>
      </c>
      <c r="R647" s="7" t="str">
        <f aca="false">TEXT(B647,"yyyy-mm")</f>
        <v>2024-07</v>
      </c>
    </row>
    <row r="648" customFormat="false" ht="15" hidden="false" customHeight="false" outlineLevel="0" collapsed="false">
      <c r="A648" s="7" t="s">
        <v>1277</v>
      </c>
      <c r="B648" s="7" t="s">
        <v>1257</v>
      </c>
      <c r="C648" s="7" t="s">
        <v>537</v>
      </c>
      <c r="D648" s="7" t="s">
        <v>70</v>
      </c>
      <c r="E648" s="7" t="s">
        <v>71</v>
      </c>
      <c r="F648" s="7" t="s">
        <v>72</v>
      </c>
      <c r="G648" s="7" t="s">
        <v>73</v>
      </c>
      <c r="H648" s="7" t="s">
        <v>211</v>
      </c>
      <c r="I648" s="7" t="s">
        <v>75</v>
      </c>
      <c r="J648" s="7" t="n">
        <v>4</v>
      </c>
      <c r="K648" s="8" t="n">
        <v>3059</v>
      </c>
      <c r="L648" s="9" t="n">
        <v>0.25</v>
      </c>
      <c r="M648" s="8" t="n">
        <v>6425.84</v>
      </c>
      <c r="N648" s="8" t="n">
        <f aca="false">J648*K648*(1-L648)</f>
        <v>9177</v>
      </c>
      <c r="O648" s="8" t="n">
        <f aca="false">N648-M648</f>
        <v>2751.16</v>
      </c>
      <c r="P648" s="10" t="n">
        <f aca="false">IFERROR(O648/N648,0)</f>
        <v>0.299788601939632</v>
      </c>
      <c r="Q648" s="7" t="str">
        <f aca="false">TEXT(B648,"mmm")</f>
        <v>Mar</v>
      </c>
      <c r="R648" s="7" t="str">
        <f aca="false">TEXT(B648,"yyyy-mm")</f>
        <v>2024-03</v>
      </c>
    </row>
    <row r="649" customFormat="false" ht="15" hidden="false" customHeight="false" outlineLevel="0" collapsed="false">
      <c r="A649" s="7" t="s">
        <v>1278</v>
      </c>
      <c r="B649" s="7" t="s">
        <v>1002</v>
      </c>
      <c r="C649" s="7" t="s">
        <v>313</v>
      </c>
      <c r="D649" s="7" t="s">
        <v>119</v>
      </c>
      <c r="E649" s="7" t="s">
        <v>120</v>
      </c>
      <c r="F649" s="7" t="s">
        <v>88</v>
      </c>
      <c r="G649" s="7" t="s">
        <v>49</v>
      </c>
      <c r="H649" s="7" t="s">
        <v>172</v>
      </c>
      <c r="I649" s="7" t="s">
        <v>75</v>
      </c>
      <c r="J649" s="7" t="n">
        <v>1</v>
      </c>
      <c r="K649" s="8" t="n">
        <v>620</v>
      </c>
      <c r="L649" s="9" t="n">
        <v>0.25</v>
      </c>
      <c r="M649" s="8" t="n">
        <v>454.55</v>
      </c>
      <c r="N649" s="8" t="n">
        <f aca="false">J649*K649*(1-L649)</f>
        <v>465</v>
      </c>
      <c r="O649" s="8" t="n">
        <f aca="false">N649-M649</f>
        <v>10.45</v>
      </c>
      <c r="P649" s="10" t="n">
        <f aca="false">IFERROR(O649/N649,0)</f>
        <v>0.0224731182795699</v>
      </c>
      <c r="Q649" s="7" t="str">
        <f aca="false">TEXT(B649,"mmm")</f>
        <v>Sep</v>
      </c>
      <c r="R649" s="7" t="str">
        <f aca="false">TEXT(B649,"yyyy-mm")</f>
        <v>2024-09</v>
      </c>
    </row>
    <row r="650" customFormat="false" ht="15" hidden="false" customHeight="false" outlineLevel="0" collapsed="false">
      <c r="A650" s="7" t="s">
        <v>1279</v>
      </c>
      <c r="B650" s="7" t="s">
        <v>412</v>
      </c>
      <c r="C650" s="7" t="s">
        <v>223</v>
      </c>
      <c r="D650" s="7" t="s">
        <v>441</v>
      </c>
      <c r="E650" s="7" t="s">
        <v>442</v>
      </c>
      <c r="F650" s="7" t="s">
        <v>64</v>
      </c>
      <c r="G650" s="7" t="s">
        <v>49</v>
      </c>
      <c r="H650" s="7" t="s">
        <v>58</v>
      </c>
      <c r="I650" s="7" t="s">
        <v>51</v>
      </c>
      <c r="J650" s="7" t="n">
        <v>3</v>
      </c>
      <c r="K650" s="8" t="n">
        <v>3349</v>
      </c>
      <c r="L650" s="9" t="n">
        <v>0.1</v>
      </c>
      <c r="M650" s="8" t="n">
        <v>6571.77</v>
      </c>
      <c r="N650" s="8" t="n">
        <f aca="false">J650*K650*(1-L650)</f>
        <v>9042.3</v>
      </c>
      <c r="O650" s="8" t="n">
        <f aca="false">N650-M650</f>
        <v>2470.53</v>
      </c>
      <c r="P650" s="10" t="n">
        <f aca="false">IFERROR(O650/N650,0)</f>
        <v>0.273219203078863</v>
      </c>
      <c r="Q650" s="7" t="str">
        <f aca="false">TEXT(B650,"mmm")</f>
        <v>Apr</v>
      </c>
      <c r="R650" s="7" t="str">
        <f aca="false">TEXT(B650,"yyyy-mm")</f>
        <v>2024-04</v>
      </c>
    </row>
    <row r="651" customFormat="false" ht="15" hidden="false" customHeight="false" outlineLevel="0" collapsed="false">
      <c r="A651" s="7" t="s">
        <v>1280</v>
      </c>
      <c r="B651" s="7" t="s">
        <v>312</v>
      </c>
      <c r="C651" s="7" t="s">
        <v>1281</v>
      </c>
      <c r="D651" s="7" t="s">
        <v>244</v>
      </c>
      <c r="E651" s="7" t="s">
        <v>245</v>
      </c>
      <c r="F651" s="7" t="s">
        <v>88</v>
      </c>
      <c r="G651" s="7" t="s">
        <v>65</v>
      </c>
      <c r="H651" s="7" t="s">
        <v>106</v>
      </c>
      <c r="I651" s="7" t="s">
        <v>51</v>
      </c>
      <c r="J651" s="7" t="n">
        <v>2</v>
      </c>
      <c r="K651" s="8" t="n">
        <v>5319</v>
      </c>
      <c r="L651" s="9" t="n">
        <v>0</v>
      </c>
      <c r="M651" s="8" t="n">
        <v>6171.66</v>
      </c>
      <c r="N651" s="8" t="n">
        <f aca="false">J651*K651*(1-L651)</f>
        <v>10638</v>
      </c>
      <c r="O651" s="8" t="n">
        <f aca="false">N651-M651</f>
        <v>4466.34</v>
      </c>
      <c r="P651" s="10" t="n">
        <f aca="false">IFERROR(O651/N651,0)</f>
        <v>0.419847715736041</v>
      </c>
      <c r="Q651" s="7" t="str">
        <f aca="false">TEXT(B651,"mmm")</f>
        <v>May</v>
      </c>
      <c r="R651" s="7" t="str">
        <f aca="false">TEXT(B651,"yyyy-mm")</f>
        <v>2024-05</v>
      </c>
    </row>
    <row r="652" customFormat="false" ht="15" hidden="false" customHeight="false" outlineLevel="0" collapsed="false">
      <c r="A652" s="7" t="s">
        <v>1282</v>
      </c>
      <c r="B652" s="7" t="s">
        <v>761</v>
      </c>
      <c r="C652" s="7" t="s">
        <v>499</v>
      </c>
      <c r="D652" s="7" t="s">
        <v>62</v>
      </c>
      <c r="E652" s="7" t="s">
        <v>63</v>
      </c>
      <c r="F652" s="7" t="s">
        <v>64</v>
      </c>
      <c r="G652" s="7" t="s">
        <v>81</v>
      </c>
      <c r="H652" s="7" t="s">
        <v>82</v>
      </c>
      <c r="I652" s="7" t="s">
        <v>51</v>
      </c>
      <c r="J652" s="7" t="n">
        <v>6</v>
      </c>
      <c r="K652" s="8" t="n">
        <v>7079</v>
      </c>
      <c r="L652" s="9" t="n">
        <v>0.25</v>
      </c>
      <c r="M652" s="8" t="n">
        <v>16438.68</v>
      </c>
      <c r="N652" s="8" t="n">
        <f aca="false">J652*K652*(1-L652)</f>
        <v>31855.5</v>
      </c>
      <c r="O652" s="8" t="n">
        <f aca="false">N652-M652</f>
        <v>15416.82</v>
      </c>
      <c r="P652" s="10" t="n">
        <f aca="false">IFERROR(O652/N652,0)</f>
        <v>0.483961011442294</v>
      </c>
      <c r="Q652" s="7" t="str">
        <f aca="false">TEXT(B652,"mmm")</f>
        <v>Aug</v>
      </c>
      <c r="R652" s="7" t="str">
        <f aca="false">TEXT(B652,"yyyy-mm")</f>
        <v>2024-08</v>
      </c>
    </row>
    <row r="653" customFormat="false" ht="15" hidden="false" customHeight="false" outlineLevel="0" collapsed="false">
      <c r="A653" s="7" t="s">
        <v>1283</v>
      </c>
      <c r="B653" s="7" t="s">
        <v>385</v>
      </c>
      <c r="C653" s="7" t="s">
        <v>265</v>
      </c>
      <c r="D653" s="7" t="s">
        <v>260</v>
      </c>
      <c r="E653" s="7" t="s">
        <v>261</v>
      </c>
      <c r="F653" s="7" t="s">
        <v>72</v>
      </c>
      <c r="G653" s="7" t="s">
        <v>81</v>
      </c>
      <c r="H653" s="7" t="s">
        <v>82</v>
      </c>
      <c r="I653" s="7" t="s">
        <v>51</v>
      </c>
      <c r="J653" s="7" t="n">
        <v>4</v>
      </c>
      <c r="K653" s="8" t="n">
        <v>4879</v>
      </c>
      <c r="L653" s="9" t="n">
        <v>0.1</v>
      </c>
      <c r="M653" s="8" t="n">
        <v>9734.92</v>
      </c>
      <c r="N653" s="8" t="n">
        <f aca="false">J653*K653*(1-L653)</f>
        <v>17564.4</v>
      </c>
      <c r="O653" s="8" t="n">
        <f aca="false">N653-M653</f>
        <v>7829.48</v>
      </c>
      <c r="P653" s="10" t="n">
        <f aca="false">IFERROR(O653/N653,0)</f>
        <v>0.445758465988021</v>
      </c>
      <c r="Q653" s="7" t="str">
        <f aca="false">TEXT(B653,"mmm")</f>
        <v>Jul</v>
      </c>
      <c r="R653" s="7" t="str">
        <f aca="false">TEXT(B653,"yyyy-mm")</f>
        <v>2024-07</v>
      </c>
    </row>
    <row r="654" customFormat="false" ht="15" hidden="false" customHeight="false" outlineLevel="0" collapsed="false">
      <c r="A654" s="7" t="s">
        <v>1284</v>
      </c>
      <c r="B654" s="7" t="s">
        <v>669</v>
      </c>
      <c r="C654" s="7" t="s">
        <v>45</v>
      </c>
      <c r="D654" s="7" t="s">
        <v>46</v>
      </c>
      <c r="E654" s="7" t="s">
        <v>47</v>
      </c>
      <c r="F654" s="7" t="s">
        <v>48</v>
      </c>
      <c r="G654" s="7" t="s">
        <v>65</v>
      </c>
      <c r="H654" s="7" t="s">
        <v>66</v>
      </c>
      <c r="I654" s="7" t="s">
        <v>75</v>
      </c>
      <c r="J654" s="7" t="n">
        <v>3</v>
      </c>
      <c r="K654" s="8" t="n">
        <v>4349</v>
      </c>
      <c r="L654" s="9" t="n">
        <v>0</v>
      </c>
      <c r="M654" s="8" t="n">
        <v>7466.31</v>
      </c>
      <c r="N654" s="8" t="n">
        <f aca="false">J654*K654*(1-L654)</f>
        <v>13047</v>
      </c>
      <c r="O654" s="8" t="n">
        <f aca="false">N654-M654</f>
        <v>5580.69</v>
      </c>
      <c r="P654" s="10" t="n">
        <f aca="false">IFERROR(O654/N654,0)</f>
        <v>0.427737410899057</v>
      </c>
      <c r="Q654" s="7" t="str">
        <f aca="false">TEXT(B654,"mmm")</f>
        <v>Apr</v>
      </c>
      <c r="R654" s="7" t="str">
        <f aca="false">TEXT(B654,"yyyy-mm")</f>
        <v>2024-04</v>
      </c>
    </row>
    <row r="655" customFormat="false" ht="15" hidden="false" customHeight="false" outlineLevel="0" collapsed="false">
      <c r="A655" s="7" t="s">
        <v>1285</v>
      </c>
      <c r="B655" s="7" t="s">
        <v>213</v>
      </c>
      <c r="C655" s="7" t="s">
        <v>234</v>
      </c>
      <c r="D655" s="7" t="s">
        <v>170</v>
      </c>
      <c r="E655" s="7" t="s">
        <v>171</v>
      </c>
      <c r="F655" s="7" t="s">
        <v>88</v>
      </c>
      <c r="G655" s="7" t="s">
        <v>73</v>
      </c>
      <c r="H655" s="7" t="s">
        <v>74</v>
      </c>
      <c r="I655" s="7" t="s">
        <v>75</v>
      </c>
      <c r="J655" s="7" t="n">
        <v>9</v>
      </c>
      <c r="K655" s="8" t="n">
        <v>5749</v>
      </c>
      <c r="L655" s="9" t="n">
        <v>0.25</v>
      </c>
      <c r="M655" s="8" t="n">
        <v>28419.39</v>
      </c>
      <c r="N655" s="8" t="n">
        <f aca="false">J655*K655*(1-L655)</f>
        <v>38805.75</v>
      </c>
      <c r="O655" s="8" t="n">
        <f aca="false">N655-M655</f>
        <v>10386.36</v>
      </c>
      <c r="P655" s="10" t="n">
        <f aca="false">IFERROR(O655/N655,0)</f>
        <v>0.267650026091494</v>
      </c>
      <c r="Q655" s="7" t="str">
        <f aca="false">TEXT(B655,"mmm")</f>
        <v>May</v>
      </c>
      <c r="R655" s="7" t="str">
        <f aca="false">TEXT(B655,"yyyy-mm")</f>
        <v>2024-05</v>
      </c>
    </row>
    <row r="656" customFormat="false" ht="15" hidden="false" customHeight="false" outlineLevel="0" collapsed="false">
      <c r="A656" s="7" t="s">
        <v>1286</v>
      </c>
      <c r="B656" s="7" t="s">
        <v>684</v>
      </c>
      <c r="C656" s="7" t="s">
        <v>586</v>
      </c>
      <c r="D656" s="7" t="s">
        <v>62</v>
      </c>
      <c r="E656" s="7" t="s">
        <v>63</v>
      </c>
      <c r="F656" s="7" t="s">
        <v>64</v>
      </c>
      <c r="G656" s="7" t="s">
        <v>81</v>
      </c>
      <c r="H656" s="7" t="s">
        <v>82</v>
      </c>
      <c r="I656" s="7" t="s">
        <v>51</v>
      </c>
      <c r="J656" s="7" t="n">
        <v>5</v>
      </c>
      <c r="K656" s="8" t="n">
        <v>7079</v>
      </c>
      <c r="L656" s="9" t="n">
        <v>0</v>
      </c>
      <c r="M656" s="8" t="n">
        <v>13698.9</v>
      </c>
      <c r="N656" s="8" t="n">
        <f aca="false">J656*K656*(1-L656)</f>
        <v>35395</v>
      </c>
      <c r="O656" s="8" t="n">
        <f aca="false">N656-M656</f>
        <v>21696.1</v>
      </c>
      <c r="P656" s="10" t="n">
        <f aca="false">IFERROR(O656/N656,0)</f>
        <v>0.612970758581721</v>
      </c>
      <c r="Q656" s="7" t="str">
        <f aca="false">TEXT(B656,"mmm")</f>
        <v>Sep</v>
      </c>
      <c r="R656" s="7" t="str">
        <f aca="false">TEXT(B656,"yyyy-mm")</f>
        <v>2024-09</v>
      </c>
    </row>
    <row r="657" customFormat="false" ht="15" hidden="false" customHeight="false" outlineLevel="0" collapsed="false">
      <c r="A657" s="7" t="s">
        <v>1287</v>
      </c>
      <c r="B657" s="7" t="s">
        <v>713</v>
      </c>
      <c r="C657" s="7" t="s">
        <v>518</v>
      </c>
      <c r="D657" s="7" t="s">
        <v>244</v>
      </c>
      <c r="E657" s="7" t="s">
        <v>245</v>
      </c>
      <c r="F657" s="7" t="s">
        <v>88</v>
      </c>
      <c r="G657" s="7" t="s">
        <v>65</v>
      </c>
      <c r="H657" s="7" t="s">
        <v>66</v>
      </c>
      <c r="I657" s="7" t="s">
        <v>75</v>
      </c>
      <c r="J657" s="7" t="n">
        <v>3</v>
      </c>
      <c r="K657" s="8" t="n">
        <v>5319</v>
      </c>
      <c r="L657" s="9" t="n">
        <v>0.1</v>
      </c>
      <c r="M657" s="8" t="n">
        <v>9257.49</v>
      </c>
      <c r="N657" s="8" t="n">
        <f aca="false">J657*K657*(1-L657)</f>
        <v>14361.3</v>
      </c>
      <c r="O657" s="8" t="n">
        <f aca="false">N657-M657</f>
        <v>5103.81</v>
      </c>
      <c r="P657" s="10" t="n">
        <f aca="false">IFERROR(O657/N657,0)</f>
        <v>0.355386350817823</v>
      </c>
      <c r="Q657" s="7" t="str">
        <f aca="false">TEXT(B657,"mmm")</f>
        <v>Jan</v>
      </c>
      <c r="R657" s="7" t="str">
        <f aca="false">TEXT(B657,"yyyy-mm")</f>
        <v>2024-01</v>
      </c>
    </row>
    <row r="658" customFormat="false" ht="15" hidden="false" customHeight="false" outlineLevel="0" collapsed="false">
      <c r="A658" s="7" t="s">
        <v>1288</v>
      </c>
      <c r="B658" s="7" t="s">
        <v>881</v>
      </c>
      <c r="C658" s="7" t="s">
        <v>599</v>
      </c>
      <c r="D658" s="7" t="s">
        <v>287</v>
      </c>
      <c r="E658" s="7" t="s">
        <v>288</v>
      </c>
      <c r="F658" s="7" t="s">
        <v>72</v>
      </c>
      <c r="G658" s="7" t="s">
        <v>49</v>
      </c>
      <c r="H658" s="7" t="s">
        <v>100</v>
      </c>
      <c r="I658" s="7" t="s">
        <v>75</v>
      </c>
      <c r="J658" s="7" t="n">
        <v>4</v>
      </c>
      <c r="K658" s="8" t="n">
        <v>1049</v>
      </c>
      <c r="L658" s="9" t="n">
        <v>0</v>
      </c>
      <c r="M658" s="8" t="n">
        <v>2648.08</v>
      </c>
      <c r="N658" s="8" t="n">
        <f aca="false">J658*K658*(1-L658)</f>
        <v>4196</v>
      </c>
      <c r="O658" s="8" t="n">
        <f aca="false">N658-M658</f>
        <v>1547.92</v>
      </c>
      <c r="P658" s="10" t="n">
        <f aca="false">IFERROR(O658/N658,0)</f>
        <v>0.368903717826501</v>
      </c>
      <c r="Q658" s="7" t="str">
        <f aca="false">TEXT(B658,"mmm")</f>
        <v>Feb</v>
      </c>
      <c r="R658" s="7" t="str">
        <f aca="false">TEXT(B658,"yyyy-mm")</f>
        <v>2024-02</v>
      </c>
    </row>
    <row r="659" customFormat="false" ht="15" hidden="false" customHeight="false" outlineLevel="0" collapsed="false">
      <c r="A659" s="7" t="s">
        <v>1289</v>
      </c>
      <c r="B659" s="7" t="s">
        <v>93</v>
      </c>
      <c r="C659" s="7" t="s">
        <v>269</v>
      </c>
      <c r="D659" s="7" t="s">
        <v>119</v>
      </c>
      <c r="E659" s="7" t="s">
        <v>120</v>
      </c>
      <c r="F659" s="7" t="s">
        <v>88</v>
      </c>
      <c r="G659" s="7" t="s">
        <v>73</v>
      </c>
      <c r="H659" s="7" t="s">
        <v>266</v>
      </c>
      <c r="I659" s="7" t="s">
        <v>51</v>
      </c>
      <c r="J659" s="7" t="n">
        <v>9</v>
      </c>
      <c r="K659" s="8" t="n">
        <v>620</v>
      </c>
      <c r="L659" s="9" t="n">
        <v>0.05</v>
      </c>
      <c r="M659" s="8" t="n">
        <v>4090.95</v>
      </c>
      <c r="N659" s="8" t="n">
        <f aca="false">J659*K659*(1-L659)</f>
        <v>5301</v>
      </c>
      <c r="O659" s="8" t="n">
        <f aca="false">N659-M659</f>
        <v>1210.05</v>
      </c>
      <c r="P659" s="10" t="n">
        <f aca="false">IFERROR(O659/N659,0)</f>
        <v>0.228268251273345</v>
      </c>
      <c r="Q659" s="7" t="str">
        <f aca="false">TEXT(B659,"mmm")</f>
        <v>Nov</v>
      </c>
      <c r="R659" s="7" t="str">
        <f aca="false">TEXT(B659,"yyyy-mm")</f>
        <v>2024-11</v>
      </c>
    </row>
    <row r="660" customFormat="false" ht="15" hidden="false" customHeight="false" outlineLevel="0" collapsed="false">
      <c r="A660" s="7" t="s">
        <v>1290</v>
      </c>
      <c r="B660" s="7" t="s">
        <v>654</v>
      </c>
      <c r="C660" s="7" t="s">
        <v>924</v>
      </c>
      <c r="D660" s="7" t="s">
        <v>260</v>
      </c>
      <c r="E660" s="7" t="s">
        <v>261</v>
      </c>
      <c r="F660" s="7" t="s">
        <v>72</v>
      </c>
      <c r="G660" s="7" t="s">
        <v>65</v>
      </c>
      <c r="H660" s="7" t="s">
        <v>106</v>
      </c>
      <c r="I660" s="7" t="s">
        <v>51</v>
      </c>
      <c r="J660" s="7" t="n">
        <v>2</v>
      </c>
      <c r="K660" s="8" t="n">
        <v>4879</v>
      </c>
      <c r="L660" s="9" t="n">
        <v>0.1</v>
      </c>
      <c r="M660" s="8" t="n">
        <v>4867.46</v>
      </c>
      <c r="N660" s="8" t="n">
        <f aca="false">J660*K660*(1-L660)</f>
        <v>8782.2</v>
      </c>
      <c r="O660" s="8" t="n">
        <f aca="false">N660-M660</f>
        <v>3914.74</v>
      </c>
      <c r="P660" s="10" t="n">
        <f aca="false">IFERROR(O660/N660,0)</f>
        <v>0.445758465988021</v>
      </c>
      <c r="Q660" s="7" t="str">
        <f aca="false">TEXT(B660,"mmm")</f>
        <v>Jun</v>
      </c>
      <c r="R660" s="7" t="str">
        <f aca="false">TEXT(B660,"yyyy-mm")</f>
        <v>2024-06</v>
      </c>
    </row>
    <row r="661" customFormat="false" ht="15" hidden="false" customHeight="false" outlineLevel="0" collapsed="false">
      <c r="A661" s="7" t="s">
        <v>1291</v>
      </c>
      <c r="B661" s="7" t="s">
        <v>1178</v>
      </c>
      <c r="C661" s="7" t="s">
        <v>422</v>
      </c>
      <c r="D661" s="7" t="s">
        <v>459</v>
      </c>
      <c r="E661" s="7" t="s">
        <v>460</v>
      </c>
      <c r="F661" s="7" t="s">
        <v>64</v>
      </c>
      <c r="G661" s="7" t="s">
        <v>65</v>
      </c>
      <c r="H661" s="7" t="s">
        <v>106</v>
      </c>
      <c r="I661" s="7" t="s">
        <v>75</v>
      </c>
      <c r="J661" s="7" t="n">
        <v>7</v>
      </c>
      <c r="K661" s="8" t="n">
        <v>1520</v>
      </c>
      <c r="L661" s="9" t="n">
        <v>0.05</v>
      </c>
      <c r="M661" s="8" t="n">
        <v>6199.97</v>
      </c>
      <c r="N661" s="8" t="n">
        <f aca="false">J661*K661*(1-L661)</f>
        <v>10108</v>
      </c>
      <c r="O661" s="8" t="n">
        <f aca="false">N661-M661</f>
        <v>3908.03</v>
      </c>
      <c r="P661" s="10" t="n">
        <f aca="false">IFERROR(O661/N661,0)</f>
        <v>0.386627423822715</v>
      </c>
      <c r="Q661" s="7" t="str">
        <f aca="false">TEXT(B661,"mmm")</f>
        <v>Sep</v>
      </c>
      <c r="R661" s="7" t="str">
        <f aca="false">TEXT(B661,"yyyy-mm")</f>
        <v>2024-09</v>
      </c>
    </row>
    <row r="662" customFormat="false" ht="15" hidden="false" customHeight="false" outlineLevel="0" collapsed="false">
      <c r="A662" s="7" t="s">
        <v>1292</v>
      </c>
      <c r="B662" s="7" t="s">
        <v>795</v>
      </c>
      <c r="C662" s="7" t="s">
        <v>742</v>
      </c>
      <c r="D662" s="7" t="s">
        <v>260</v>
      </c>
      <c r="E662" s="7" t="s">
        <v>261</v>
      </c>
      <c r="F662" s="7" t="s">
        <v>72</v>
      </c>
      <c r="G662" s="7" t="s">
        <v>81</v>
      </c>
      <c r="H662" s="7" t="s">
        <v>82</v>
      </c>
      <c r="I662" s="7" t="s">
        <v>51</v>
      </c>
      <c r="J662" s="7" t="n">
        <v>3</v>
      </c>
      <c r="K662" s="8" t="n">
        <v>4879</v>
      </c>
      <c r="L662" s="9" t="n">
        <v>0</v>
      </c>
      <c r="M662" s="8" t="n">
        <v>7301.19</v>
      </c>
      <c r="N662" s="8" t="n">
        <f aca="false">J662*K662*(1-L662)</f>
        <v>14637</v>
      </c>
      <c r="O662" s="8" t="n">
        <f aca="false">N662-M662</f>
        <v>7335.81</v>
      </c>
      <c r="P662" s="10" t="n">
        <f aca="false">IFERROR(O662/N662,0)</f>
        <v>0.501182619389219</v>
      </c>
      <c r="Q662" s="7" t="str">
        <f aca="false">TEXT(B662,"mmm")</f>
        <v>Dec</v>
      </c>
      <c r="R662" s="7" t="str">
        <f aca="false">TEXT(B662,"yyyy-mm")</f>
        <v>2024-12</v>
      </c>
    </row>
    <row r="663" customFormat="false" ht="15" hidden="false" customHeight="false" outlineLevel="0" collapsed="false">
      <c r="A663" s="7" t="s">
        <v>1293</v>
      </c>
      <c r="B663" s="7" t="s">
        <v>1002</v>
      </c>
      <c r="C663" s="7" t="s">
        <v>895</v>
      </c>
      <c r="D663" s="7" t="s">
        <v>130</v>
      </c>
      <c r="E663" s="7" t="s">
        <v>131</v>
      </c>
      <c r="F663" s="7" t="s">
        <v>72</v>
      </c>
      <c r="G663" s="7" t="s">
        <v>49</v>
      </c>
      <c r="H663" s="7" t="s">
        <v>172</v>
      </c>
      <c r="I663" s="7" t="s">
        <v>51</v>
      </c>
      <c r="J663" s="7" t="n">
        <v>6</v>
      </c>
      <c r="K663" s="8" t="n">
        <v>7899</v>
      </c>
      <c r="L663" s="9" t="n">
        <v>0.25</v>
      </c>
      <c r="M663" s="8" t="n">
        <v>20434.98</v>
      </c>
      <c r="N663" s="8" t="n">
        <f aca="false">J663*K663*(1-L663)</f>
        <v>35545.5</v>
      </c>
      <c r="O663" s="8" t="n">
        <f aca="false">N663-M663</f>
        <v>15110.52</v>
      </c>
      <c r="P663" s="10" t="n">
        <f aca="false">IFERROR(O663/N663,0)</f>
        <v>0.425103599611765</v>
      </c>
      <c r="Q663" s="7" t="str">
        <f aca="false">TEXT(B663,"mmm")</f>
        <v>Sep</v>
      </c>
      <c r="R663" s="7" t="str">
        <f aca="false">TEXT(B663,"yyyy-mm")</f>
        <v>2024-09</v>
      </c>
    </row>
    <row r="664" customFormat="false" ht="15" hidden="false" customHeight="false" outlineLevel="0" collapsed="false">
      <c r="A664" s="7" t="s">
        <v>1294</v>
      </c>
      <c r="B664" s="7" t="s">
        <v>929</v>
      </c>
      <c r="C664" s="7" t="s">
        <v>1295</v>
      </c>
      <c r="D664" s="7" t="s">
        <v>144</v>
      </c>
      <c r="E664" s="7" t="s">
        <v>145</v>
      </c>
      <c r="F664" s="7" t="s">
        <v>48</v>
      </c>
      <c r="G664" s="7" t="s">
        <v>65</v>
      </c>
      <c r="H664" s="7" t="s">
        <v>217</v>
      </c>
      <c r="I664" s="7" t="s">
        <v>51</v>
      </c>
      <c r="J664" s="7" t="n">
        <v>4</v>
      </c>
      <c r="K664" s="8" t="n">
        <v>5149</v>
      </c>
      <c r="L664" s="9" t="n">
        <v>0.15</v>
      </c>
      <c r="M664" s="8" t="n">
        <v>8689.92</v>
      </c>
      <c r="N664" s="8" t="n">
        <f aca="false">J664*K664*(1-L664)</f>
        <v>17506.6</v>
      </c>
      <c r="O664" s="8" t="n">
        <f aca="false">N664-M664</f>
        <v>8816.68</v>
      </c>
      <c r="P664" s="10" t="n">
        <f aca="false">IFERROR(O664/N664,0)</f>
        <v>0.503620348896987</v>
      </c>
      <c r="Q664" s="7" t="str">
        <f aca="false">TEXT(B664,"mmm")</f>
        <v>May</v>
      </c>
      <c r="R664" s="7" t="str">
        <f aca="false">TEXT(B664,"yyyy-mm")</f>
        <v>2024-05</v>
      </c>
    </row>
    <row r="665" customFormat="false" ht="15" hidden="false" customHeight="false" outlineLevel="0" collapsed="false">
      <c r="A665" s="7" t="s">
        <v>1296</v>
      </c>
      <c r="B665" s="7" t="s">
        <v>877</v>
      </c>
      <c r="C665" s="7" t="s">
        <v>191</v>
      </c>
      <c r="D665" s="7" t="s">
        <v>201</v>
      </c>
      <c r="E665" s="7" t="s">
        <v>202</v>
      </c>
      <c r="F665" s="7" t="s">
        <v>72</v>
      </c>
      <c r="G665" s="7" t="s">
        <v>49</v>
      </c>
      <c r="H665" s="7" t="s">
        <v>58</v>
      </c>
      <c r="I665" s="7" t="s">
        <v>75</v>
      </c>
      <c r="J665" s="7" t="n">
        <v>3</v>
      </c>
      <c r="K665" s="8" t="n">
        <v>3990</v>
      </c>
      <c r="L665" s="9" t="n">
        <v>0.25</v>
      </c>
      <c r="M665" s="8" t="n">
        <v>9100.83</v>
      </c>
      <c r="N665" s="8" t="n">
        <f aca="false">J665*K665*(1-L665)</f>
        <v>8977.5</v>
      </c>
      <c r="O665" s="8" t="n">
        <f aca="false">N665-M665</f>
        <v>-123.33</v>
      </c>
      <c r="P665" s="10" t="n">
        <f aca="false">IFERROR(O665/N665,0)</f>
        <v>-0.0137376775271512</v>
      </c>
      <c r="Q665" s="7" t="str">
        <f aca="false">TEXT(B665,"mmm")</f>
        <v>Jul</v>
      </c>
      <c r="R665" s="7" t="str">
        <f aca="false">TEXT(B665,"yyyy-mm")</f>
        <v>2024-07</v>
      </c>
    </row>
    <row r="666" customFormat="false" ht="15" hidden="false" customHeight="false" outlineLevel="0" collapsed="false">
      <c r="A666" s="7" t="s">
        <v>1297</v>
      </c>
      <c r="B666" s="7" t="s">
        <v>1105</v>
      </c>
      <c r="C666" s="7" t="s">
        <v>437</v>
      </c>
      <c r="D666" s="7" t="s">
        <v>197</v>
      </c>
      <c r="E666" s="7" t="s">
        <v>198</v>
      </c>
      <c r="F666" s="7" t="s">
        <v>64</v>
      </c>
      <c r="G666" s="7" t="s">
        <v>49</v>
      </c>
      <c r="H666" s="7" t="s">
        <v>58</v>
      </c>
      <c r="I666" s="7" t="s">
        <v>51</v>
      </c>
      <c r="J666" s="7" t="n">
        <v>3</v>
      </c>
      <c r="K666" s="8" t="n">
        <v>2910</v>
      </c>
      <c r="L666" s="9" t="n">
        <v>0.05</v>
      </c>
      <c r="M666" s="8" t="n">
        <v>4020.48</v>
      </c>
      <c r="N666" s="8" t="n">
        <f aca="false">J666*K666*(1-L666)</f>
        <v>8293.5</v>
      </c>
      <c r="O666" s="8" t="n">
        <f aca="false">N666-M666</f>
        <v>4273.02</v>
      </c>
      <c r="P666" s="10" t="n">
        <f aca="false">IFERROR(O666/N666,0)</f>
        <v>0.515225176342919</v>
      </c>
      <c r="Q666" s="7" t="str">
        <f aca="false">TEXT(B666,"mmm")</f>
        <v>Mar</v>
      </c>
      <c r="R666" s="7" t="str">
        <f aca="false">TEXT(B666,"yyyy-mm")</f>
        <v>2024-03</v>
      </c>
    </row>
    <row r="667" customFormat="false" ht="15" hidden="false" customHeight="false" outlineLevel="0" collapsed="false">
      <c r="A667" s="7" t="s">
        <v>1298</v>
      </c>
      <c r="B667" s="7" t="s">
        <v>322</v>
      </c>
      <c r="C667" s="7" t="s">
        <v>994</v>
      </c>
      <c r="D667" s="7" t="s">
        <v>181</v>
      </c>
      <c r="E667" s="7" t="s">
        <v>182</v>
      </c>
      <c r="F667" s="7" t="s">
        <v>88</v>
      </c>
      <c r="G667" s="7" t="s">
        <v>49</v>
      </c>
      <c r="H667" s="7" t="s">
        <v>172</v>
      </c>
      <c r="I667" s="7" t="s">
        <v>75</v>
      </c>
      <c r="J667" s="7" t="n">
        <v>6</v>
      </c>
      <c r="K667" s="8" t="n">
        <v>4489</v>
      </c>
      <c r="L667" s="9" t="n">
        <v>0.25</v>
      </c>
      <c r="M667" s="8" t="n">
        <v>11733.42</v>
      </c>
      <c r="N667" s="8" t="n">
        <f aca="false">J667*K667*(1-L667)</f>
        <v>20200.5</v>
      </c>
      <c r="O667" s="8" t="n">
        <f aca="false">N667-M667</f>
        <v>8467.08</v>
      </c>
      <c r="P667" s="10" t="n">
        <f aca="false">IFERROR(O667/N667,0)</f>
        <v>0.419152001188089</v>
      </c>
      <c r="Q667" s="7" t="str">
        <f aca="false">TEXT(B667,"mmm")</f>
        <v>Dec</v>
      </c>
      <c r="R667" s="7" t="str">
        <f aca="false">TEXT(B667,"yyyy-mm")</f>
        <v>2024-12</v>
      </c>
    </row>
    <row r="668" customFormat="false" ht="15" hidden="false" customHeight="false" outlineLevel="0" collapsed="false">
      <c r="A668" s="7" t="s">
        <v>1299</v>
      </c>
      <c r="B668" s="7" t="s">
        <v>514</v>
      </c>
      <c r="C668" s="7" t="s">
        <v>670</v>
      </c>
      <c r="D668" s="7" t="s">
        <v>360</v>
      </c>
      <c r="E668" s="7" t="s">
        <v>361</v>
      </c>
      <c r="F668" s="7" t="s">
        <v>48</v>
      </c>
      <c r="G668" s="7" t="s">
        <v>73</v>
      </c>
      <c r="H668" s="7" t="s">
        <v>266</v>
      </c>
      <c r="I668" s="7" t="s">
        <v>51</v>
      </c>
      <c r="J668" s="7" t="n">
        <v>2</v>
      </c>
      <c r="K668" s="8" t="n">
        <v>679</v>
      </c>
      <c r="L668" s="9" t="n">
        <v>0.05</v>
      </c>
      <c r="M668" s="8" t="n">
        <v>921.4</v>
      </c>
      <c r="N668" s="8" t="n">
        <f aca="false">J668*K668*(1-L668)</f>
        <v>1290.1</v>
      </c>
      <c r="O668" s="8" t="n">
        <f aca="false">N668-M668</f>
        <v>368.7</v>
      </c>
      <c r="P668" s="10" t="n">
        <f aca="false">IFERROR(O668/N668,0)</f>
        <v>0.285791799085342</v>
      </c>
      <c r="Q668" s="7" t="str">
        <f aca="false">TEXT(B668,"mmm")</f>
        <v>Jul</v>
      </c>
      <c r="R668" s="7" t="str">
        <f aca="false">TEXT(B668,"yyyy-mm")</f>
        <v>2024-07</v>
      </c>
    </row>
    <row r="669" customFormat="false" ht="15" hidden="false" customHeight="false" outlineLevel="0" collapsed="false">
      <c r="A669" s="7" t="s">
        <v>1300</v>
      </c>
      <c r="B669" s="7" t="s">
        <v>222</v>
      </c>
      <c r="C669" s="7" t="s">
        <v>342</v>
      </c>
      <c r="D669" s="7" t="s">
        <v>162</v>
      </c>
      <c r="E669" s="7" t="s">
        <v>163</v>
      </c>
      <c r="F669" s="7" t="s">
        <v>57</v>
      </c>
      <c r="G669" s="7" t="s">
        <v>49</v>
      </c>
      <c r="H669" s="7" t="s">
        <v>100</v>
      </c>
      <c r="I669" s="7" t="s">
        <v>51</v>
      </c>
      <c r="J669" s="7" t="n">
        <v>2</v>
      </c>
      <c r="K669" s="8" t="n">
        <v>4629</v>
      </c>
      <c r="L669" s="9" t="n">
        <v>0.15</v>
      </c>
      <c r="M669" s="8" t="n">
        <v>4060.34</v>
      </c>
      <c r="N669" s="8" t="n">
        <f aca="false">J669*K669*(1-L669)</f>
        <v>7869.3</v>
      </c>
      <c r="O669" s="8" t="n">
        <f aca="false">N669-M669</f>
        <v>3808.96</v>
      </c>
      <c r="P669" s="10" t="n">
        <f aca="false">IFERROR(O669/N669,0)</f>
        <v>0.484027804251967</v>
      </c>
      <c r="Q669" s="7" t="str">
        <f aca="false">TEXT(B669,"mmm")</f>
        <v>Jul</v>
      </c>
      <c r="R669" s="7" t="str">
        <f aca="false">TEXT(B669,"yyyy-mm")</f>
        <v>2024-07</v>
      </c>
    </row>
    <row r="670" customFormat="false" ht="15" hidden="false" customHeight="false" outlineLevel="0" collapsed="false">
      <c r="A670" s="7" t="s">
        <v>1301</v>
      </c>
      <c r="B670" s="7" t="s">
        <v>781</v>
      </c>
      <c r="C670" s="7" t="s">
        <v>578</v>
      </c>
      <c r="D670" s="7" t="s">
        <v>113</v>
      </c>
      <c r="E670" s="7" t="s">
        <v>114</v>
      </c>
      <c r="F670" s="7" t="s">
        <v>57</v>
      </c>
      <c r="G670" s="7" t="s">
        <v>73</v>
      </c>
      <c r="H670" s="7" t="s">
        <v>211</v>
      </c>
      <c r="I670" s="7" t="s">
        <v>51</v>
      </c>
      <c r="J670" s="7" t="n">
        <v>2</v>
      </c>
      <c r="K670" s="8" t="n">
        <v>3069</v>
      </c>
      <c r="L670" s="9" t="n">
        <v>0.15</v>
      </c>
      <c r="M670" s="8" t="n">
        <v>4584.16</v>
      </c>
      <c r="N670" s="8" t="n">
        <f aca="false">J670*K670*(1-L670)</f>
        <v>5217.3</v>
      </c>
      <c r="O670" s="8" t="n">
        <f aca="false">N670-M670</f>
        <v>633.14</v>
      </c>
      <c r="P670" s="10" t="n">
        <f aca="false">IFERROR(O670/N670,0)</f>
        <v>0.121353957027581</v>
      </c>
      <c r="Q670" s="7" t="str">
        <f aca="false">TEXT(B670,"mmm")</f>
        <v>Jan</v>
      </c>
      <c r="R670" s="7" t="str">
        <f aca="false">TEXT(B670,"yyyy-mm")</f>
        <v>2024-01</v>
      </c>
    </row>
    <row r="671" customFormat="false" ht="15" hidden="false" customHeight="false" outlineLevel="0" collapsed="false">
      <c r="A671" s="7" t="s">
        <v>1302</v>
      </c>
      <c r="B671" s="7" t="s">
        <v>1303</v>
      </c>
      <c r="C671" s="7" t="s">
        <v>649</v>
      </c>
      <c r="D671" s="7" t="s">
        <v>441</v>
      </c>
      <c r="E671" s="7" t="s">
        <v>442</v>
      </c>
      <c r="F671" s="7" t="s">
        <v>64</v>
      </c>
      <c r="G671" s="7" t="s">
        <v>81</v>
      </c>
      <c r="H671" s="7" t="s">
        <v>109</v>
      </c>
      <c r="I671" s="7" t="s">
        <v>75</v>
      </c>
      <c r="J671" s="7" t="n">
        <v>5</v>
      </c>
      <c r="K671" s="8" t="n">
        <v>3349</v>
      </c>
      <c r="L671" s="9" t="n">
        <v>0</v>
      </c>
      <c r="M671" s="8" t="n">
        <v>10952.95</v>
      </c>
      <c r="N671" s="8" t="n">
        <f aca="false">J671*K671*(1-L671)</f>
        <v>16745</v>
      </c>
      <c r="O671" s="8" t="n">
        <f aca="false">N671-M671</f>
        <v>5792.05</v>
      </c>
      <c r="P671" s="10" t="n">
        <f aca="false">IFERROR(O671/N671,0)</f>
        <v>0.345897282770976</v>
      </c>
      <c r="Q671" s="7" t="str">
        <f aca="false">TEXT(B671,"mmm")</f>
        <v>Jan</v>
      </c>
      <c r="R671" s="7" t="str">
        <f aca="false">TEXT(B671,"yyyy-mm")</f>
        <v>2024-01</v>
      </c>
    </row>
    <row r="672" customFormat="false" ht="15" hidden="false" customHeight="false" outlineLevel="0" collapsed="false">
      <c r="A672" s="7" t="s">
        <v>1304</v>
      </c>
      <c r="B672" s="7" t="s">
        <v>1305</v>
      </c>
      <c r="C672" s="7" t="s">
        <v>1010</v>
      </c>
      <c r="D672" s="7" t="s">
        <v>343</v>
      </c>
      <c r="E672" s="7" t="s">
        <v>344</v>
      </c>
      <c r="F672" s="7" t="s">
        <v>88</v>
      </c>
      <c r="G672" s="7" t="s">
        <v>49</v>
      </c>
      <c r="H672" s="7" t="s">
        <v>100</v>
      </c>
      <c r="I672" s="7" t="s">
        <v>51</v>
      </c>
      <c r="J672" s="7" t="n">
        <v>7</v>
      </c>
      <c r="K672" s="8" t="n">
        <v>2169</v>
      </c>
      <c r="L672" s="9" t="n">
        <v>0.15</v>
      </c>
      <c r="M672" s="8" t="n">
        <v>10457.3</v>
      </c>
      <c r="N672" s="8" t="n">
        <f aca="false">J672*K672*(1-L672)</f>
        <v>12905.55</v>
      </c>
      <c r="O672" s="8" t="n">
        <f aca="false">N672-M672</f>
        <v>2448.25</v>
      </c>
      <c r="P672" s="10" t="n">
        <f aca="false">IFERROR(O672/N672,0)</f>
        <v>0.189705204350066</v>
      </c>
      <c r="Q672" s="7" t="str">
        <f aca="false">TEXT(B672,"mmm")</f>
        <v>Apr</v>
      </c>
      <c r="R672" s="7" t="str">
        <f aca="false">TEXT(B672,"yyyy-mm")</f>
        <v>2024-04</v>
      </c>
    </row>
    <row r="673" customFormat="false" ht="15" hidden="false" customHeight="false" outlineLevel="0" collapsed="false">
      <c r="A673" s="7" t="s">
        <v>1306</v>
      </c>
      <c r="B673" s="7" t="s">
        <v>195</v>
      </c>
      <c r="C673" s="7" t="s">
        <v>901</v>
      </c>
      <c r="D673" s="7" t="s">
        <v>343</v>
      </c>
      <c r="E673" s="7" t="s">
        <v>344</v>
      </c>
      <c r="F673" s="7" t="s">
        <v>88</v>
      </c>
      <c r="G673" s="7" t="s">
        <v>49</v>
      </c>
      <c r="H673" s="7" t="s">
        <v>58</v>
      </c>
      <c r="I673" s="7" t="s">
        <v>51</v>
      </c>
      <c r="J673" s="7" t="n">
        <v>6</v>
      </c>
      <c r="K673" s="8" t="n">
        <v>2169</v>
      </c>
      <c r="L673" s="9" t="n">
        <v>0.15</v>
      </c>
      <c r="M673" s="8" t="n">
        <v>8963.4</v>
      </c>
      <c r="N673" s="8" t="n">
        <f aca="false">J673*K673*(1-L673)</f>
        <v>11061.9</v>
      </c>
      <c r="O673" s="8" t="n">
        <f aca="false">N673-M673</f>
        <v>2098.5</v>
      </c>
      <c r="P673" s="10" t="n">
        <f aca="false">IFERROR(O673/N673,0)</f>
        <v>0.189705204350066</v>
      </c>
      <c r="Q673" s="7" t="str">
        <f aca="false">TEXT(B673,"mmm")</f>
        <v>Feb</v>
      </c>
      <c r="R673" s="7" t="str">
        <f aca="false">TEXT(B673,"yyyy-mm")</f>
        <v>2024-02</v>
      </c>
    </row>
    <row r="674" customFormat="false" ht="15" hidden="false" customHeight="false" outlineLevel="0" collapsed="false">
      <c r="A674" s="7" t="s">
        <v>1307</v>
      </c>
      <c r="B674" s="7" t="s">
        <v>1308</v>
      </c>
      <c r="C674" s="7" t="s">
        <v>426</v>
      </c>
      <c r="D674" s="7" t="s">
        <v>46</v>
      </c>
      <c r="E674" s="7" t="s">
        <v>47</v>
      </c>
      <c r="F674" s="7" t="s">
        <v>48</v>
      </c>
      <c r="G674" s="7" t="s">
        <v>49</v>
      </c>
      <c r="H674" s="7" t="s">
        <v>58</v>
      </c>
      <c r="I674" s="7" t="s">
        <v>75</v>
      </c>
      <c r="J674" s="7" t="n">
        <v>6</v>
      </c>
      <c r="K674" s="8" t="n">
        <v>4349</v>
      </c>
      <c r="L674" s="9" t="n">
        <v>0.05</v>
      </c>
      <c r="M674" s="8" t="n">
        <v>14932.62</v>
      </c>
      <c r="N674" s="8" t="n">
        <f aca="false">J674*K674*(1-L674)</f>
        <v>24789.3</v>
      </c>
      <c r="O674" s="8" t="n">
        <f aca="false">N674-M674</f>
        <v>9856.68</v>
      </c>
      <c r="P674" s="10" t="n">
        <f aca="false">IFERROR(O674/N674,0)</f>
        <v>0.397618327262166</v>
      </c>
      <c r="Q674" s="7" t="str">
        <f aca="false">TEXT(B674,"mmm")</f>
        <v>Nov</v>
      </c>
      <c r="R674" s="7" t="str">
        <f aca="false">TEXT(B674,"yyyy-mm")</f>
        <v>2024-11</v>
      </c>
    </row>
    <row r="675" customFormat="false" ht="15" hidden="false" customHeight="false" outlineLevel="0" collapsed="false">
      <c r="A675" s="7" t="s">
        <v>1309</v>
      </c>
      <c r="B675" s="7" t="s">
        <v>68</v>
      </c>
      <c r="C675" s="7" t="s">
        <v>1106</v>
      </c>
      <c r="D675" s="7" t="s">
        <v>113</v>
      </c>
      <c r="E675" s="7" t="s">
        <v>114</v>
      </c>
      <c r="F675" s="7" t="s">
        <v>57</v>
      </c>
      <c r="G675" s="7" t="s">
        <v>73</v>
      </c>
      <c r="H675" s="7" t="s">
        <v>74</v>
      </c>
      <c r="I675" s="7" t="s">
        <v>75</v>
      </c>
      <c r="J675" s="7" t="n">
        <v>4</v>
      </c>
      <c r="K675" s="8" t="n">
        <v>3069</v>
      </c>
      <c r="L675" s="9" t="n">
        <v>0.25</v>
      </c>
      <c r="M675" s="8" t="n">
        <v>9168.32</v>
      </c>
      <c r="N675" s="8" t="n">
        <f aca="false">J675*K675*(1-L675)</f>
        <v>9207</v>
      </c>
      <c r="O675" s="8" t="n">
        <f aca="false">N675-M675</f>
        <v>38.6800000000003</v>
      </c>
      <c r="P675" s="10" t="n">
        <f aca="false">IFERROR(O675/N675,0)</f>
        <v>0.00420115129792552</v>
      </c>
      <c r="Q675" s="7" t="str">
        <f aca="false">TEXT(B675,"mmm")</f>
        <v>Dec</v>
      </c>
      <c r="R675" s="7" t="str">
        <f aca="false">TEXT(B675,"yyyy-mm")</f>
        <v>2024-12</v>
      </c>
    </row>
    <row r="676" customFormat="false" ht="15" hidden="false" customHeight="false" outlineLevel="0" collapsed="false">
      <c r="A676" s="7" t="s">
        <v>1310</v>
      </c>
      <c r="B676" s="7" t="s">
        <v>293</v>
      </c>
      <c r="C676" s="7" t="s">
        <v>827</v>
      </c>
      <c r="D676" s="7" t="s">
        <v>206</v>
      </c>
      <c r="E676" s="7" t="s">
        <v>207</v>
      </c>
      <c r="F676" s="7" t="s">
        <v>88</v>
      </c>
      <c r="G676" s="7" t="s">
        <v>49</v>
      </c>
      <c r="H676" s="7" t="s">
        <v>58</v>
      </c>
      <c r="I676" s="7" t="s">
        <v>75</v>
      </c>
      <c r="J676" s="7" t="n">
        <v>3</v>
      </c>
      <c r="K676" s="8" t="n">
        <v>1029</v>
      </c>
      <c r="L676" s="9" t="n">
        <v>0.15</v>
      </c>
      <c r="M676" s="8" t="n">
        <v>1885.86</v>
      </c>
      <c r="N676" s="8" t="n">
        <f aca="false">J676*K676*(1-L676)</f>
        <v>2623.95</v>
      </c>
      <c r="O676" s="8" t="n">
        <f aca="false">N676-M676</f>
        <v>738.09</v>
      </c>
      <c r="P676" s="10" t="n">
        <f aca="false">IFERROR(O676/N676,0)</f>
        <v>0.281289658720631</v>
      </c>
      <c r="Q676" s="7" t="str">
        <f aca="false">TEXT(B676,"mmm")</f>
        <v>Dec</v>
      </c>
      <c r="R676" s="7" t="str">
        <f aca="false">TEXT(B676,"yyyy-mm")</f>
        <v>2024-12</v>
      </c>
    </row>
    <row r="677" customFormat="false" ht="15" hidden="false" customHeight="false" outlineLevel="0" collapsed="false">
      <c r="A677" s="7" t="s">
        <v>1311</v>
      </c>
      <c r="B677" s="7" t="s">
        <v>415</v>
      </c>
      <c r="C677" s="7" t="s">
        <v>99</v>
      </c>
      <c r="D677" s="7" t="s">
        <v>95</v>
      </c>
      <c r="E677" s="7" t="s">
        <v>96</v>
      </c>
      <c r="F677" s="7" t="s">
        <v>48</v>
      </c>
      <c r="G677" s="7" t="s">
        <v>49</v>
      </c>
      <c r="H677" s="7" t="s">
        <v>100</v>
      </c>
      <c r="I677" s="7" t="s">
        <v>51</v>
      </c>
      <c r="J677" s="7" t="n">
        <v>5</v>
      </c>
      <c r="K677" s="8" t="n">
        <v>5529</v>
      </c>
      <c r="L677" s="9" t="n">
        <v>0.1</v>
      </c>
      <c r="M677" s="8" t="n">
        <v>15581.3</v>
      </c>
      <c r="N677" s="8" t="n">
        <f aca="false">J677*K677*(1-L677)</f>
        <v>24880.5</v>
      </c>
      <c r="O677" s="8" t="n">
        <f aca="false">N677-M677</f>
        <v>9299.2</v>
      </c>
      <c r="P677" s="10" t="n">
        <f aca="false">IFERROR(O677/N677,0)</f>
        <v>0.373754546733386</v>
      </c>
      <c r="Q677" s="7" t="str">
        <f aca="false">TEXT(B677,"mmm")</f>
        <v>Mar</v>
      </c>
      <c r="R677" s="7" t="str">
        <f aca="false">TEXT(B677,"yyyy-mm")</f>
        <v>2024-03</v>
      </c>
    </row>
    <row r="678" customFormat="false" ht="15" hidden="false" customHeight="false" outlineLevel="0" collapsed="false">
      <c r="A678" s="7" t="s">
        <v>1312</v>
      </c>
      <c r="B678" s="7" t="s">
        <v>1084</v>
      </c>
      <c r="C678" s="7" t="s">
        <v>676</v>
      </c>
      <c r="D678" s="7" t="s">
        <v>360</v>
      </c>
      <c r="E678" s="7" t="s">
        <v>361</v>
      </c>
      <c r="F678" s="7" t="s">
        <v>48</v>
      </c>
      <c r="G678" s="7" t="s">
        <v>73</v>
      </c>
      <c r="H678" s="7" t="s">
        <v>115</v>
      </c>
      <c r="I678" s="7" t="s">
        <v>51</v>
      </c>
      <c r="J678" s="7" t="n">
        <v>2</v>
      </c>
      <c r="K678" s="8" t="n">
        <v>679</v>
      </c>
      <c r="L678" s="9" t="n">
        <v>0.1</v>
      </c>
      <c r="M678" s="8" t="n">
        <v>921.4</v>
      </c>
      <c r="N678" s="8" t="n">
        <f aca="false">J678*K678*(1-L678)</f>
        <v>1222.2</v>
      </c>
      <c r="O678" s="8" t="n">
        <f aca="false">N678-M678</f>
        <v>300.8</v>
      </c>
      <c r="P678" s="10" t="n">
        <f aca="false">IFERROR(O678/N678,0)</f>
        <v>0.246113565701195</v>
      </c>
      <c r="Q678" s="7" t="str">
        <f aca="false">TEXT(B678,"mmm")</f>
        <v>Jun</v>
      </c>
      <c r="R678" s="7" t="str">
        <f aca="false">TEXT(B678,"yyyy-mm")</f>
        <v>2024-06</v>
      </c>
    </row>
    <row r="679" customFormat="false" ht="15" hidden="false" customHeight="false" outlineLevel="0" collapsed="false">
      <c r="A679" s="7" t="s">
        <v>1313</v>
      </c>
      <c r="B679" s="7" t="s">
        <v>200</v>
      </c>
      <c r="C679" s="7" t="s">
        <v>575</v>
      </c>
      <c r="D679" s="7" t="s">
        <v>162</v>
      </c>
      <c r="E679" s="7" t="s">
        <v>163</v>
      </c>
      <c r="F679" s="7" t="s">
        <v>57</v>
      </c>
      <c r="G679" s="7" t="s">
        <v>65</v>
      </c>
      <c r="H679" s="7" t="s">
        <v>106</v>
      </c>
      <c r="I679" s="7" t="s">
        <v>51</v>
      </c>
      <c r="J679" s="7" t="n">
        <v>2</v>
      </c>
      <c r="K679" s="8" t="n">
        <v>4629</v>
      </c>
      <c r="L679" s="9" t="n">
        <v>0.1</v>
      </c>
      <c r="M679" s="8" t="n">
        <v>4060.34</v>
      </c>
      <c r="N679" s="8" t="n">
        <f aca="false">J679*K679*(1-L679)</f>
        <v>8332.2</v>
      </c>
      <c r="O679" s="8" t="n">
        <f aca="false">N679-M679</f>
        <v>4271.86</v>
      </c>
      <c r="P679" s="10" t="n">
        <f aca="false">IFERROR(O679/N679,0)</f>
        <v>0.512692926237968</v>
      </c>
      <c r="Q679" s="7" t="str">
        <f aca="false">TEXT(B679,"mmm")</f>
        <v>May</v>
      </c>
      <c r="R679" s="7" t="str">
        <f aca="false">TEXT(B679,"yyyy-mm")</f>
        <v>2024-05</v>
      </c>
    </row>
    <row r="680" customFormat="false" ht="15" hidden="false" customHeight="false" outlineLevel="0" collapsed="false">
      <c r="A680" s="7" t="s">
        <v>1314</v>
      </c>
      <c r="B680" s="7" t="s">
        <v>60</v>
      </c>
      <c r="C680" s="7" t="s">
        <v>742</v>
      </c>
      <c r="D680" s="7" t="s">
        <v>113</v>
      </c>
      <c r="E680" s="7" t="s">
        <v>114</v>
      </c>
      <c r="F680" s="7" t="s">
        <v>57</v>
      </c>
      <c r="G680" s="7" t="s">
        <v>65</v>
      </c>
      <c r="H680" s="7" t="s">
        <v>217</v>
      </c>
      <c r="I680" s="7" t="s">
        <v>51</v>
      </c>
      <c r="J680" s="7" t="n">
        <v>3</v>
      </c>
      <c r="K680" s="8" t="n">
        <v>3069</v>
      </c>
      <c r="L680" s="9" t="n">
        <v>0</v>
      </c>
      <c r="M680" s="8" t="n">
        <v>6876.24</v>
      </c>
      <c r="N680" s="8" t="n">
        <f aca="false">J680*K680*(1-L680)</f>
        <v>9207</v>
      </c>
      <c r="O680" s="8" t="n">
        <f aca="false">N680-M680</f>
        <v>2330.76</v>
      </c>
      <c r="P680" s="10" t="n">
        <f aca="false">IFERROR(O680/N680,0)</f>
        <v>0.253150863473444</v>
      </c>
      <c r="Q680" s="7" t="str">
        <f aca="false">TEXT(B680,"mmm")</f>
        <v>Jun</v>
      </c>
      <c r="R680" s="7" t="str">
        <f aca="false">TEXT(B680,"yyyy-mm")</f>
        <v>2024-06</v>
      </c>
    </row>
    <row r="681" customFormat="false" ht="15" hidden="false" customHeight="false" outlineLevel="0" collapsed="false">
      <c r="A681" s="7" t="s">
        <v>1315</v>
      </c>
      <c r="B681" s="7" t="s">
        <v>133</v>
      </c>
      <c r="C681" s="7" t="s">
        <v>1281</v>
      </c>
      <c r="D681" s="7" t="s">
        <v>149</v>
      </c>
      <c r="E681" s="7" t="s">
        <v>150</v>
      </c>
      <c r="F681" s="7" t="s">
        <v>88</v>
      </c>
      <c r="G681" s="7" t="s">
        <v>49</v>
      </c>
      <c r="H681" s="7" t="s">
        <v>50</v>
      </c>
      <c r="I681" s="7" t="s">
        <v>51</v>
      </c>
      <c r="J681" s="7" t="n">
        <v>3</v>
      </c>
      <c r="K681" s="8" t="n">
        <v>5219</v>
      </c>
      <c r="L681" s="9" t="n">
        <v>0.2</v>
      </c>
      <c r="M681" s="8" t="n">
        <v>10473.12</v>
      </c>
      <c r="N681" s="8" t="n">
        <f aca="false">J681*K681*(1-L681)</f>
        <v>12525.6</v>
      </c>
      <c r="O681" s="8" t="n">
        <f aca="false">N681-M681</f>
        <v>2052.48</v>
      </c>
      <c r="P681" s="10" t="n">
        <f aca="false">IFERROR(O681/N681,0)</f>
        <v>0.163862808967235</v>
      </c>
      <c r="Q681" s="7" t="str">
        <f aca="false">TEXT(B681,"mmm")</f>
        <v>Sep</v>
      </c>
      <c r="R681" s="7" t="str">
        <f aca="false">TEXT(B681,"yyyy-mm")</f>
        <v>2024-09</v>
      </c>
    </row>
    <row r="682" customFormat="false" ht="15" hidden="false" customHeight="false" outlineLevel="0" collapsed="false">
      <c r="A682" s="7" t="s">
        <v>1316</v>
      </c>
      <c r="B682" s="7" t="s">
        <v>1257</v>
      </c>
      <c r="C682" s="7" t="s">
        <v>240</v>
      </c>
      <c r="D682" s="7" t="s">
        <v>46</v>
      </c>
      <c r="E682" s="7" t="s">
        <v>47</v>
      </c>
      <c r="F682" s="7" t="s">
        <v>48</v>
      </c>
      <c r="G682" s="7" t="s">
        <v>65</v>
      </c>
      <c r="H682" s="7" t="s">
        <v>217</v>
      </c>
      <c r="I682" s="7" t="s">
        <v>75</v>
      </c>
      <c r="J682" s="7" t="n">
        <v>6</v>
      </c>
      <c r="K682" s="8" t="n">
        <v>4349</v>
      </c>
      <c r="L682" s="9" t="n">
        <v>0.2</v>
      </c>
      <c r="M682" s="8" t="n">
        <v>14932.62</v>
      </c>
      <c r="N682" s="8" t="n">
        <f aca="false">J682*K682*(1-L682)</f>
        <v>20875.2</v>
      </c>
      <c r="O682" s="8" t="n">
        <f aca="false">N682-M682</f>
        <v>5942.58</v>
      </c>
      <c r="P682" s="10" t="n">
        <f aca="false">IFERROR(O682/N682,0)</f>
        <v>0.284671763623822</v>
      </c>
      <c r="Q682" s="7" t="str">
        <f aca="false">TEXT(B682,"mmm")</f>
        <v>Mar</v>
      </c>
      <c r="R682" s="7" t="str">
        <f aca="false">TEXT(B682,"yyyy-mm")</f>
        <v>2024-03</v>
      </c>
    </row>
    <row r="683" customFormat="false" ht="15" hidden="false" customHeight="false" outlineLevel="0" collapsed="false">
      <c r="A683" s="7" t="s">
        <v>1317</v>
      </c>
      <c r="B683" s="7" t="s">
        <v>293</v>
      </c>
      <c r="C683" s="7" t="s">
        <v>467</v>
      </c>
      <c r="D683" s="7" t="s">
        <v>295</v>
      </c>
      <c r="E683" s="7" t="s">
        <v>296</v>
      </c>
      <c r="F683" s="7" t="s">
        <v>64</v>
      </c>
      <c r="G683" s="7" t="s">
        <v>65</v>
      </c>
      <c r="H683" s="7" t="s">
        <v>217</v>
      </c>
      <c r="I683" s="7" t="s">
        <v>51</v>
      </c>
      <c r="J683" s="7" t="n">
        <v>5</v>
      </c>
      <c r="K683" s="8" t="n">
        <v>1249</v>
      </c>
      <c r="L683" s="9" t="n">
        <v>0.05</v>
      </c>
      <c r="M683" s="8" t="n">
        <v>4586.55</v>
      </c>
      <c r="N683" s="8" t="n">
        <f aca="false">J683*K683*(1-L683)</f>
        <v>5932.75</v>
      </c>
      <c r="O683" s="8" t="n">
        <f aca="false">N683-M683</f>
        <v>1346.2</v>
      </c>
      <c r="P683" s="10" t="n">
        <f aca="false">IFERROR(O683/N683,0)</f>
        <v>0.226909949011841</v>
      </c>
      <c r="Q683" s="7" t="str">
        <f aca="false">TEXT(B683,"mmm")</f>
        <v>Dec</v>
      </c>
      <c r="R683" s="7" t="str">
        <f aca="false">TEXT(B683,"yyyy-mm")</f>
        <v>2024-12</v>
      </c>
    </row>
    <row r="684" customFormat="false" ht="15" hidden="false" customHeight="false" outlineLevel="0" collapsed="false">
      <c r="A684" s="7" t="s">
        <v>1318</v>
      </c>
      <c r="B684" s="7" t="s">
        <v>1218</v>
      </c>
      <c r="C684" s="7" t="s">
        <v>419</v>
      </c>
      <c r="D684" s="7" t="s">
        <v>181</v>
      </c>
      <c r="E684" s="7" t="s">
        <v>182</v>
      </c>
      <c r="F684" s="7" t="s">
        <v>88</v>
      </c>
      <c r="G684" s="7" t="s">
        <v>73</v>
      </c>
      <c r="H684" s="7" t="s">
        <v>266</v>
      </c>
      <c r="I684" s="7" t="s">
        <v>75</v>
      </c>
      <c r="J684" s="7" t="n">
        <v>5</v>
      </c>
      <c r="K684" s="8" t="n">
        <v>4489</v>
      </c>
      <c r="L684" s="9" t="n">
        <v>0.15</v>
      </c>
      <c r="M684" s="8" t="n">
        <v>9777.85</v>
      </c>
      <c r="N684" s="8" t="n">
        <f aca="false">J684*K684*(1-L684)</f>
        <v>19078.25</v>
      </c>
      <c r="O684" s="8" t="n">
        <f aca="false">N684-M684</f>
        <v>9300.4</v>
      </c>
      <c r="P684" s="10" t="n">
        <f aca="false">IFERROR(O684/N684,0)</f>
        <v>0.487487059871844</v>
      </c>
      <c r="Q684" s="7" t="str">
        <f aca="false">TEXT(B684,"mmm")</f>
        <v>Mar</v>
      </c>
      <c r="R684" s="7" t="str">
        <f aca="false">TEXT(B684,"yyyy-mm")</f>
        <v>2024-03</v>
      </c>
    </row>
    <row r="685" customFormat="false" ht="15" hidden="false" customHeight="false" outlineLevel="0" collapsed="false">
      <c r="A685" s="7" t="s">
        <v>1319</v>
      </c>
      <c r="B685" s="7" t="s">
        <v>122</v>
      </c>
      <c r="C685" s="7" t="s">
        <v>640</v>
      </c>
      <c r="D685" s="7" t="s">
        <v>423</v>
      </c>
      <c r="E685" s="7" t="s">
        <v>424</v>
      </c>
      <c r="F685" s="7" t="s">
        <v>48</v>
      </c>
      <c r="G685" s="7" t="s">
        <v>49</v>
      </c>
      <c r="H685" s="7" t="s">
        <v>100</v>
      </c>
      <c r="I685" s="7" t="s">
        <v>75</v>
      </c>
      <c r="J685" s="7" t="n">
        <v>4</v>
      </c>
      <c r="K685" s="8" t="n">
        <v>5039</v>
      </c>
      <c r="L685" s="9" t="n">
        <v>0.05</v>
      </c>
      <c r="M685" s="8" t="n">
        <v>7785.44</v>
      </c>
      <c r="N685" s="8" t="n">
        <f aca="false">J685*K685*(1-L685)</f>
        <v>19148.2</v>
      </c>
      <c r="O685" s="8" t="n">
        <f aca="false">N685-M685</f>
        <v>11362.76</v>
      </c>
      <c r="P685" s="10" t="n">
        <f aca="false">IFERROR(O685/N685,0)</f>
        <v>0.593411391149038</v>
      </c>
      <c r="Q685" s="7" t="str">
        <f aca="false">TEXT(B685,"mmm")</f>
        <v>Mar</v>
      </c>
      <c r="R685" s="7" t="str">
        <f aca="false">TEXT(B685,"yyyy-mm")</f>
        <v>2024-03</v>
      </c>
    </row>
    <row r="686" customFormat="false" ht="15" hidden="false" customHeight="false" outlineLevel="0" collapsed="false">
      <c r="A686" s="7" t="s">
        <v>1320</v>
      </c>
      <c r="B686" s="7" t="s">
        <v>1321</v>
      </c>
      <c r="C686" s="7" t="s">
        <v>392</v>
      </c>
      <c r="D686" s="7" t="s">
        <v>170</v>
      </c>
      <c r="E686" s="7" t="s">
        <v>171</v>
      </c>
      <c r="F686" s="7" t="s">
        <v>88</v>
      </c>
      <c r="G686" s="7" t="s">
        <v>65</v>
      </c>
      <c r="H686" s="7" t="s">
        <v>66</v>
      </c>
      <c r="I686" s="7" t="s">
        <v>75</v>
      </c>
      <c r="J686" s="7" t="n">
        <v>3</v>
      </c>
      <c r="K686" s="8" t="n">
        <v>5749</v>
      </c>
      <c r="L686" s="9" t="n">
        <v>0.25</v>
      </c>
      <c r="M686" s="8" t="n">
        <v>9473.13</v>
      </c>
      <c r="N686" s="8" t="n">
        <f aca="false">J686*K686*(1-L686)</f>
        <v>12935.25</v>
      </c>
      <c r="O686" s="8" t="n">
        <f aca="false">N686-M686</f>
        <v>3462.12</v>
      </c>
      <c r="P686" s="10" t="n">
        <f aca="false">IFERROR(O686/N686,0)</f>
        <v>0.267650026091494</v>
      </c>
      <c r="Q686" s="7" t="str">
        <f aca="false">TEXT(B686,"mmm")</f>
        <v>Aug</v>
      </c>
      <c r="R686" s="7" t="str">
        <f aca="false">TEXT(B686,"yyyy-mm")</f>
        <v>2024-08</v>
      </c>
    </row>
    <row r="687" customFormat="false" ht="15" hidden="false" customHeight="false" outlineLevel="0" collapsed="false">
      <c r="A687" s="7" t="s">
        <v>1322</v>
      </c>
      <c r="B687" s="7" t="s">
        <v>624</v>
      </c>
      <c r="C687" s="7" t="s">
        <v>463</v>
      </c>
      <c r="D687" s="7" t="s">
        <v>423</v>
      </c>
      <c r="E687" s="7" t="s">
        <v>424</v>
      </c>
      <c r="F687" s="7" t="s">
        <v>48</v>
      </c>
      <c r="G687" s="7" t="s">
        <v>73</v>
      </c>
      <c r="H687" s="7" t="s">
        <v>74</v>
      </c>
      <c r="I687" s="7" t="s">
        <v>51</v>
      </c>
      <c r="J687" s="7" t="n">
        <v>4</v>
      </c>
      <c r="K687" s="8" t="n">
        <v>5039</v>
      </c>
      <c r="L687" s="9" t="n">
        <v>0.25</v>
      </c>
      <c r="M687" s="8" t="n">
        <v>7785.44</v>
      </c>
      <c r="N687" s="8" t="n">
        <f aca="false">J687*K687*(1-L687)</f>
        <v>15117</v>
      </c>
      <c r="O687" s="8" t="n">
        <f aca="false">N687-M687</f>
        <v>7331.56</v>
      </c>
      <c r="P687" s="10" t="n">
        <f aca="false">IFERROR(O687/N687,0)</f>
        <v>0.484987762122114</v>
      </c>
      <c r="Q687" s="7" t="str">
        <f aca="false">TEXT(B687,"mmm")</f>
        <v>Aug</v>
      </c>
      <c r="R687" s="7" t="str">
        <f aca="false">TEXT(B687,"yyyy-mm")</f>
        <v>2024-08</v>
      </c>
    </row>
    <row r="688" customFormat="false" ht="15" hidden="false" customHeight="false" outlineLevel="0" collapsed="false">
      <c r="A688" s="7" t="s">
        <v>1323</v>
      </c>
      <c r="B688" s="7" t="s">
        <v>1324</v>
      </c>
      <c r="C688" s="7" t="s">
        <v>112</v>
      </c>
      <c r="D688" s="7" t="s">
        <v>46</v>
      </c>
      <c r="E688" s="7" t="s">
        <v>47</v>
      </c>
      <c r="F688" s="7" t="s">
        <v>48</v>
      </c>
      <c r="G688" s="7" t="s">
        <v>49</v>
      </c>
      <c r="H688" s="7" t="s">
        <v>50</v>
      </c>
      <c r="I688" s="7" t="s">
        <v>75</v>
      </c>
      <c r="J688" s="7" t="n">
        <v>1</v>
      </c>
      <c r="K688" s="8" t="n">
        <v>4349</v>
      </c>
      <c r="L688" s="9" t="n">
        <v>0</v>
      </c>
      <c r="M688" s="8" t="n">
        <v>2488.77</v>
      </c>
      <c r="N688" s="8" t="n">
        <f aca="false">J688*K688*(1-L688)</f>
        <v>4349</v>
      </c>
      <c r="O688" s="8" t="n">
        <f aca="false">N688-M688</f>
        <v>1860.23</v>
      </c>
      <c r="P688" s="10" t="n">
        <f aca="false">IFERROR(O688/N688,0)</f>
        <v>0.427737410899057</v>
      </c>
      <c r="Q688" s="7" t="str">
        <f aca="false">TEXT(B688,"mmm")</f>
        <v>Feb</v>
      </c>
      <c r="R688" s="7" t="str">
        <f aca="false">TEXT(B688,"yyyy-mm")</f>
        <v>2024-02</v>
      </c>
    </row>
    <row r="689" customFormat="false" ht="15" hidden="false" customHeight="false" outlineLevel="0" collapsed="false">
      <c r="A689" s="7" t="s">
        <v>1325</v>
      </c>
      <c r="B689" s="7" t="s">
        <v>1308</v>
      </c>
      <c r="C689" s="7" t="s">
        <v>330</v>
      </c>
      <c r="D689" s="7" t="s">
        <v>459</v>
      </c>
      <c r="E689" s="7" t="s">
        <v>460</v>
      </c>
      <c r="F689" s="7" t="s">
        <v>64</v>
      </c>
      <c r="G689" s="7" t="s">
        <v>65</v>
      </c>
      <c r="H689" s="7" t="s">
        <v>217</v>
      </c>
      <c r="I689" s="7" t="s">
        <v>75</v>
      </c>
      <c r="J689" s="7" t="n">
        <v>5</v>
      </c>
      <c r="K689" s="8" t="n">
        <v>1520</v>
      </c>
      <c r="L689" s="9" t="n">
        <v>0.05</v>
      </c>
      <c r="M689" s="8" t="n">
        <v>4428.55</v>
      </c>
      <c r="N689" s="8" t="n">
        <f aca="false">J689*K689*(1-L689)</f>
        <v>7220</v>
      </c>
      <c r="O689" s="8" t="n">
        <f aca="false">N689-M689</f>
        <v>2791.45</v>
      </c>
      <c r="P689" s="10" t="n">
        <f aca="false">IFERROR(O689/N689,0)</f>
        <v>0.386627423822715</v>
      </c>
      <c r="Q689" s="7" t="str">
        <f aca="false">TEXT(B689,"mmm")</f>
        <v>Nov</v>
      </c>
      <c r="R689" s="7" t="str">
        <f aca="false">TEXT(B689,"yyyy-mm")</f>
        <v>2024-11</v>
      </c>
    </row>
    <row r="690" customFormat="false" ht="15" hidden="false" customHeight="false" outlineLevel="0" collapsed="false">
      <c r="A690" s="7" t="s">
        <v>1326</v>
      </c>
      <c r="B690" s="7" t="s">
        <v>242</v>
      </c>
      <c r="C690" s="7" t="s">
        <v>676</v>
      </c>
      <c r="D690" s="7" t="s">
        <v>124</v>
      </c>
      <c r="E690" s="7" t="s">
        <v>125</v>
      </c>
      <c r="F690" s="7" t="s">
        <v>64</v>
      </c>
      <c r="G690" s="7" t="s">
        <v>65</v>
      </c>
      <c r="H690" s="7" t="s">
        <v>106</v>
      </c>
      <c r="I690" s="7" t="s">
        <v>75</v>
      </c>
      <c r="J690" s="7" t="n">
        <v>5</v>
      </c>
      <c r="K690" s="8" t="n">
        <v>1349</v>
      </c>
      <c r="L690" s="9" t="n">
        <v>0.25</v>
      </c>
      <c r="M690" s="8" t="n">
        <v>3487</v>
      </c>
      <c r="N690" s="8" t="n">
        <f aca="false">J690*K690*(1-L690)</f>
        <v>5058.75</v>
      </c>
      <c r="O690" s="8" t="n">
        <f aca="false">N690-M690</f>
        <v>1571.75</v>
      </c>
      <c r="P690" s="10" t="n">
        <f aca="false">IFERROR(O690/N690,0)</f>
        <v>0.310699283419817</v>
      </c>
      <c r="Q690" s="7" t="str">
        <f aca="false">TEXT(B690,"mmm")</f>
        <v>Mar</v>
      </c>
      <c r="R690" s="7" t="str">
        <f aca="false">TEXT(B690,"yyyy-mm")</f>
        <v>2024-03</v>
      </c>
    </row>
    <row r="691" customFormat="false" ht="15" hidden="false" customHeight="false" outlineLevel="0" collapsed="false">
      <c r="A691" s="7" t="s">
        <v>1327</v>
      </c>
      <c r="B691" s="7" t="s">
        <v>152</v>
      </c>
      <c r="C691" s="7" t="s">
        <v>659</v>
      </c>
      <c r="D691" s="7" t="s">
        <v>343</v>
      </c>
      <c r="E691" s="7" t="s">
        <v>344</v>
      </c>
      <c r="F691" s="7" t="s">
        <v>88</v>
      </c>
      <c r="G691" s="7" t="s">
        <v>65</v>
      </c>
      <c r="H691" s="7" t="s">
        <v>217</v>
      </c>
      <c r="I691" s="7" t="s">
        <v>51</v>
      </c>
      <c r="J691" s="7" t="n">
        <v>6</v>
      </c>
      <c r="K691" s="8" t="n">
        <v>2169</v>
      </c>
      <c r="L691" s="9" t="n">
        <v>0.05</v>
      </c>
      <c r="M691" s="8" t="n">
        <v>8963.4</v>
      </c>
      <c r="N691" s="8" t="n">
        <f aca="false">J691*K691*(1-L691)</f>
        <v>12363.3</v>
      </c>
      <c r="O691" s="8" t="n">
        <f aca="false">N691-M691</f>
        <v>3399.9</v>
      </c>
      <c r="P691" s="10" t="n">
        <f aca="false">IFERROR(O691/N691,0)</f>
        <v>0.274999393365849</v>
      </c>
      <c r="Q691" s="7" t="str">
        <f aca="false">TEXT(B691,"mmm")</f>
        <v>Dec</v>
      </c>
      <c r="R691" s="7" t="str">
        <f aca="false">TEXT(B691,"yyyy-mm")</f>
        <v>2024-12</v>
      </c>
    </row>
    <row r="692" customFormat="false" ht="15" hidden="false" customHeight="false" outlineLevel="0" collapsed="false">
      <c r="A692" s="7" t="s">
        <v>1328</v>
      </c>
      <c r="B692" s="7" t="s">
        <v>209</v>
      </c>
      <c r="C692" s="7" t="s">
        <v>920</v>
      </c>
      <c r="D692" s="7" t="s">
        <v>124</v>
      </c>
      <c r="E692" s="7" t="s">
        <v>125</v>
      </c>
      <c r="F692" s="7" t="s">
        <v>64</v>
      </c>
      <c r="G692" s="7" t="s">
        <v>73</v>
      </c>
      <c r="H692" s="7" t="s">
        <v>266</v>
      </c>
      <c r="I692" s="7" t="s">
        <v>51</v>
      </c>
      <c r="J692" s="7" t="n">
        <v>2</v>
      </c>
      <c r="K692" s="8" t="n">
        <v>1349</v>
      </c>
      <c r="L692" s="9" t="n">
        <v>0.2</v>
      </c>
      <c r="M692" s="8" t="n">
        <v>1394.8</v>
      </c>
      <c r="N692" s="8" t="n">
        <f aca="false">J692*K692*(1-L692)</f>
        <v>2158.4</v>
      </c>
      <c r="O692" s="8" t="n">
        <f aca="false">N692-M692</f>
        <v>763.6</v>
      </c>
      <c r="P692" s="10" t="n">
        <f aca="false">IFERROR(O692/N692,0)</f>
        <v>0.353780578206079</v>
      </c>
      <c r="Q692" s="7" t="str">
        <f aca="false">TEXT(B692,"mmm")</f>
        <v>Dec</v>
      </c>
      <c r="R692" s="7" t="str">
        <f aca="false">TEXT(B692,"yyyy-mm")</f>
        <v>2024-12</v>
      </c>
    </row>
    <row r="693" customFormat="false" ht="15" hidden="false" customHeight="false" outlineLevel="0" collapsed="false">
      <c r="A693" s="7" t="s">
        <v>1329</v>
      </c>
      <c r="B693" s="7" t="s">
        <v>960</v>
      </c>
      <c r="C693" s="7" t="s">
        <v>575</v>
      </c>
      <c r="D693" s="7" t="s">
        <v>176</v>
      </c>
      <c r="E693" s="7" t="s">
        <v>177</v>
      </c>
      <c r="F693" s="7" t="s">
        <v>72</v>
      </c>
      <c r="G693" s="7" t="s">
        <v>49</v>
      </c>
      <c r="H693" s="7" t="s">
        <v>50</v>
      </c>
      <c r="I693" s="7" t="s">
        <v>51</v>
      </c>
      <c r="J693" s="7" t="n">
        <v>2</v>
      </c>
      <c r="K693" s="8" t="n">
        <v>3969</v>
      </c>
      <c r="L693" s="9" t="n">
        <v>0</v>
      </c>
      <c r="M693" s="8" t="n">
        <v>4295.94</v>
      </c>
      <c r="N693" s="8" t="n">
        <f aca="false">J693*K693*(1-L693)</f>
        <v>7938</v>
      </c>
      <c r="O693" s="8" t="n">
        <f aca="false">N693-M693</f>
        <v>3642.06</v>
      </c>
      <c r="P693" s="10" t="n">
        <f aca="false">IFERROR(O693/N693,0)</f>
        <v>0.458813303099017</v>
      </c>
      <c r="Q693" s="7" t="str">
        <f aca="false">TEXT(B693,"mmm")</f>
        <v>May</v>
      </c>
      <c r="R693" s="7" t="str">
        <f aca="false">TEXT(B693,"yyyy-mm")</f>
        <v>2024-05</v>
      </c>
    </row>
    <row r="694" customFormat="false" ht="15" hidden="false" customHeight="false" outlineLevel="0" collapsed="false">
      <c r="A694" s="7" t="s">
        <v>1330</v>
      </c>
      <c r="B694" s="7" t="s">
        <v>1069</v>
      </c>
      <c r="C694" s="7" t="s">
        <v>806</v>
      </c>
      <c r="D694" s="7" t="s">
        <v>464</v>
      </c>
      <c r="E694" s="7" t="s">
        <v>465</v>
      </c>
      <c r="F694" s="7" t="s">
        <v>48</v>
      </c>
      <c r="G694" s="7" t="s">
        <v>81</v>
      </c>
      <c r="H694" s="7" t="s">
        <v>82</v>
      </c>
      <c r="I694" s="7" t="s">
        <v>51</v>
      </c>
      <c r="J694" s="7" t="n">
        <v>3</v>
      </c>
      <c r="K694" s="8" t="n">
        <v>799</v>
      </c>
      <c r="L694" s="9" t="n">
        <v>0.25</v>
      </c>
      <c r="M694" s="8" t="n">
        <v>1241.94</v>
      </c>
      <c r="N694" s="8" t="n">
        <f aca="false">J694*K694*(1-L694)</f>
        <v>1797.75</v>
      </c>
      <c r="O694" s="8" t="n">
        <f aca="false">N694-M694</f>
        <v>555.81</v>
      </c>
      <c r="P694" s="10" t="n">
        <f aca="false">IFERROR(O694/N694,0)</f>
        <v>0.309169795577806</v>
      </c>
      <c r="Q694" s="7" t="str">
        <f aca="false">TEXT(B694,"mmm")</f>
        <v>Oct</v>
      </c>
      <c r="R694" s="7" t="str">
        <f aca="false">TEXT(B694,"yyyy-mm")</f>
        <v>2024-10</v>
      </c>
    </row>
    <row r="695" customFormat="false" ht="15" hidden="false" customHeight="false" outlineLevel="0" collapsed="false">
      <c r="A695" s="7" t="s">
        <v>1331</v>
      </c>
      <c r="B695" s="7" t="s">
        <v>1002</v>
      </c>
      <c r="C695" s="7" t="s">
        <v>744</v>
      </c>
      <c r="D695" s="7" t="s">
        <v>459</v>
      </c>
      <c r="E695" s="7" t="s">
        <v>460</v>
      </c>
      <c r="F695" s="7" t="s">
        <v>64</v>
      </c>
      <c r="G695" s="7" t="s">
        <v>49</v>
      </c>
      <c r="H695" s="7" t="s">
        <v>172</v>
      </c>
      <c r="I695" s="7" t="s">
        <v>51</v>
      </c>
      <c r="J695" s="7" t="n">
        <v>5</v>
      </c>
      <c r="K695" s="8" t="n">
        <v>1520</v>
      </c>
      <c r="L695" s="9" t="n">
        <v>0.2</v>
      </c>
      <c r="M695" s="8" t="n">
        <v>4428.55</v>
      </c>
      <c r="N695" s="8" t="n">
        <f aca="false">J695*K695*(1-L695)</f>
        <v>6080</v>
      </c>
      <c r="O695" s="8" t="n">
        <f aca="false">N695-M695</f>
        <v>1651.45</v>
      </c>
      <c r="P695" s="10" t="n">
        <f aca="false">IFERROR(O695/N695,0)</f>
        <v>0.271620065789474</v>
      </c>
      <c r="Q695" s="7" t="str">
        <f aca="false">TEXT(B695,"mmm")</f>
        <v>Sep</v>
      </c>
      <c r="R695" s="7" t="str">
        <f aca="false">TEXT(B695,"yyyy-mm")</f>
        <v>2024-09</v>
      </c>
    </row>
    <row r="696" customFormat="false" ht="15" hidden="false" customHeight="false" outlineLevel="0" collapsed="false">
      <c r="A696" s="7" t="s">
        <v>1332</v>
      </c>
      <c r="B696" s="7" t="s">
        <v>93</v>
      </c>
      <c r="C696" s="7" t="s">
        <v>103</v>
      </c>
      <c r="D696" s="7" t="s">
        <v>244</v>
      </c>
      <c r="E696" s="7" t="s">
        <v>245</v>
      </c>
      <c r="F696" s="7" t="s">
        <v>88</v>
      </c>
      <c r="G696" s="7" t="s">
        <v>81</v>
      </c>
      <c r="H696" s="7" t="s">
        <v>237</v>
      </c>
      <c r="I696" s="7" t="s">
        <v>75</v>
      </c>
      <c r="J696" s="7" t="n">
        <v>9</v>
      </c>
      <c r="K696" s="8" t="n">
        <v>5319</v>
      </c>
      <c r="L696" s="9" t="n">
        <v>0</v>
      </c>
      <c r="M696" s="8" t="n">
        <v>27772.47</v>
      </c>
      <c r="N696" s="8" t="n">
        <f aca="false">J696*K696*(1-L696)</f>
        <v>47871</v>
      </c>
      <c r="O696" s="8" t="n">
        <f aca="false">N696-M696</f>
        <v>20098.53</v>
      </c>
      <c r="P696" s="10" t="n">
        <f aca="false">IFERROR(O696/N696,0)</f>
        <v>0.419847715736041</v>
      </c>
      <c r="Q696" s="7" t="str">
        <f aca="false">TEXT(B696,"mmm")</f>
        <v>Nov</v>
      </c>
      <c r="R696" s="7" t="str">
        <f aca="false">TEXT(B696,"yyyy-mm")</f>
        <v>2024-11</v>
      </c>
    </row>
    <row r="697" customFormat="false" ht="15" hidden="false" customHeight="false" outlineLevel="0" collapsed="false">
      <c r="A697" s="7" t="s">
        <v>1333</v>
      </c>
      <c r="B697" s="7" t="s">
        <v>475</v>
      </c>
      <c r="C697" s="7" t="s">
        <v>373</v>
      </c>
      <c r="D697" s="7" t="s">
        <v>441</v>
      </c>
      <c r="E697" s="7" t="s">
        <v>442</v>
      </c>
      <c r="F697" s="7" t="s">
        <v>64</v>
      </c>
      <c r="G697" s="7" t="s">
        <v>73</v>
      </c>
      <c r="H697" s="7" t="s">
        <v>74</v>
      </c>
      <c r="I697" s="7" t="s">
        <v>51</v>
      </c>
      <c r="J697" s="7" t="n">
        <v>6</v>
      </c>
      <c r="K697" s="8" t="n">
        <v>3349</v>
      </c>
      <c r="L697" s="9" t="n">
        <v>0</v>
      </c>
      <c r="M697" s="8" t="n">
        <v>13143.54</v>
      </c>
      <c r="N697" s="8" t="n">
        <f aca="false">J697*K697*(1-L697)</f>
        <v>20094</v>
      </c>
      <c r="O697" s="8" t="n">
        <f aca="false">N697-M697</f>
        <v>6950.46</v>
      </c>
      <c r="P697" s="10" t="n">
        <f aca="false">IFERROR(O697/N697,0)</f>
        <v>0.345897282770976</v>
      </c>
      <c r="Q697" s="7" t="str">
        <f aca="false">TEXT(B697,"mmm")</f>
        <v>Oct</v>
      </c>
      <c r="R697" s="7" t="str">
        <f aca="false">TEXT(B697,"yyyy-mm")</f>
        <v>2024-10</v>
      </c>
    </row>
    <row r="698" customFormat="false" ht="15" hidden="false" customHeight="false" outlineLevel="0" collapsed="false">
      <c r="A698" s="7" t="s">
        <v>1334</v>
      </c>
      <c r="B698" s="7" t="s">
        <v>1308</v>
      </c>
      <c r="C698" s="7" t="s">
        <v>99</v>
      </c>
      <c r="D698" s="7" t="s">
        <v>459</v>
      </c>
      <c r="E698" s="7" t="s">
        <v>460</v>
      </c>
      <c r="F698" s="7" t="s">
        <v>64</v>
      </c>
      <c r="G698" s="7" t="s">
        <v>49</v>
      </c>
      <c r="H698" s="7" t="s">
        <v>172</v>
      </c>
      <c r="I698" s="7" t="s">
        <v>51</v>
      </c>
      <c r="J698" s="7" t="n">
        <v>5</v>
      </c>
      <c r="K698" s="8" t="n">
        <v>1520</v>
      </c>
      <c r="L698" s="9" t="n">
        <v>0</v>
      </c>
      <c r="M698" s="8" t="n">
        <v>4428.55</v>
      </c>
      <c r="N698" s="8" t="n">
        <f aca="false">J698*K698*(1-L698)</f>
        <v>7600</v>
      </c>
      <c r="O698" s="8" t="n">
        <f aca="false">N698-M698</f>
        <v>3171.45</v>
      </c>
      <c r="P698" s="10" t="n">
        <f aca="false">IFERROR(O698/N698,0)</f>
        <v>0.417296052631579</v>
      </c>
      <c r="Q698" s="7" t="str">
        <f aca="false">TEXT(B698,"mmm")</f>
        <v>Nov</v>
      </c>
      <c r="R698" s="7" t="str">
        <f aca="false">TEXT(B698,"yyyy-mm")</f>
        <v>2024-11</v>
      </c>
    </row>
    <row r="699" customFormat="false" ht="15" hidden="false" customHeight="false" outlineLevel="0" collapsed="false">
      <c r="A699" s="7" t="s">
        <v>1335</v>
      </c>
      <c r="B699" s="7" t="s">
        <v>421</v>
      </c>
      <c r="C699" s="7" t="s">
        <v>1010</v>
      </c>
      <c r="D699" s="7" t="s">
        <v>201</v>
      </c>
      <c r="E699" s="7" t="s">
        <v>202</v>
      </c>
      <c r="F699" s="7" t="s">
        <v>72</v>
      </c>
      <c r="G699" s="7" t="s">
        <v>73</v>
      </c>
      <c r="H699" s="7" t="s">
        <v>115</v>
      </c>
      <c r="I699" s="7" t="s">
        <v>51</v>
      </c>
      <c r="J699" s="7" t="n">
        <v>1</v>
      </c>
      <c r="K699" s="8" t="n">
        <v>3990</v>
      </c>
      <c r="L699" s="9" t="n">
        <v>0.15</v>
      </c>
      <c r="M699" s="8" t="n">
        <v>3033.61</v>
      </c>
      <c r="N699" s="8" t="n">
        <f aca="false">J699*K699*(1-L699)</f>
        <v>3391.5</v>
      </c>
      <c r="O699" s="8" t="n">
        <f aca="false">N699-M699</f>
        <v>357.89</v>
      </c>
      <c r="P699" s="10" t="n">
        <f aca="false">IFERROR(O699/N699,0)</f>
        <v>0.105525578652514</v>
      </c>
      <c r="Q699" s="7" t="str">
        <f aca="false">TEXT(B699,"mmm")</f>
        <v>Aug</v>
      </c>
      <c r="R699" s="7" t="str">
        <f aca="false">TEXT(B699,"yyyy-mm")</f>
        <v>2024-08</v>
      </c>
    </row>
    <row r="700" customFormat="false" ht="15" hidden="false" customHeight="false" outlineLevel="0" collapsed="false">
      <c r="A700" s="7" t="s">
        <v>1336</v>
      </c>
      <c r="B700" s="7" t="s">
        <v>439</v>
      </c>
      <c r="C700" s="7" t="s">
        <v>816</v>
      </c>
      <c r="D700" s="7" t="s">
        <v>549</v>
      </c>
      <c r="E700" s="7" t="s">
        <v>550</v>
      </c>
      <c r="F700" s="7" t="s">
        <v>48</v>
      </c>
      <c r="G700" s="7" t="s">
        <v>81</v>
      </c>
      <c r="H700" s="7" t="s">
        <v>186</v>
      </c>
      <c r="I700" s="7" t="s">
        <v>51</v>
      </c>
      <c r="J700" s="7" t="n">
        <v>7</v>
      </c>
      <c r="K700" s="8" t="n">
        <v>3419</v>
      </c>
      <c r="L700" s="9" t="n">
        <v>0</v>
      </c>
      <c r="M700" s="8" t="n">
        <v>17572.24</v>
      </c>
      <c r="N700" s="8" t="n">
        <f aca="false">J700*K700*(1-L700)</f>
        <v>23933</v>
      </c>
      <c r="O700" s="8" t="n">
        <f aca="false">N700-M700</f>
        <v>6360.76</v>
      </c>
      <c r="P700" s="10" t="n">
        <f aca="false">IFERROR(O700/N700,0)</f>
        <v>0.265773618016964</v>
      </c>
      <c r="Q700" s="7" t="str">
        <f aca="false">TEXT(B700,"mmm")</f>
        <v>Aug</v>
      </c>
      <c r="R700" s="7" t="str">
        <f aca="false">TEXT(B700,"yyyy-mm")</f>
        <v>2024-08</v>
      </c>
    </row>
    <row r="701" customFormat="false" ht="15" hidden="false" customHeight="false" outlineLevel="0" collapsed="false">
      <c r="A701" s="7" t="s">
        <v>1337</v>
      </c>
      <c r="B701" s="7" t="s">
        <v>562</v>
      </c>
      <c r="C701" s="7" t="s">
        <v>702</v>
      </c>
      <c r="D701" s="7" t="s">
        <v>314</v>
      </c>
      <c r="E701" s="7" t="s">
        <v>315</v>
      </c>
      <c r="F701" s="7" t="s">
        <v>64</v>
      </c>
      <c r="G701" s="7" t="s">
        <v>81</v>
      </c>
      <c r="H701" s="7" t="s">
        <v>186</v>
      </c>
      <c r="I701" s="7" t="s">
        <v>51</v>
      </c>
      <c r="J701" s="7" t="n">
        <v>3</v>
      </c>
      <c r="K701" s="8" t="n">
        <v>4059</v>
      </c>
      <c r="L701" s="9" t="n">
        <v>0.15</v>
      </c>
      <c r="M701" s="8" t="n">
        <v>6838.62</v>
      </c>
      <c r="N701" s="8" t="n">
        <f aca="false">J701*K701*(1-L701)</f>
        <v>10350.45</v>
      </c>
      <c r="O701" s="8" t="n">
        <f aca="false">N701-M701</f>
        <v>3511.83</v>
      </c>
      <c r="P701" s="10" t="n">
        <f aca="false">IFERROR(O701/N701,0)</f>
        <v>0.339292494529223</v>
      </c>
      <c r="Q701" s="7" t="str">
        <f aca="false">TEXT(B701,"mmm")</f>
        <v>Mar</v>
      </c>
      <c r="R701" s="7" t="str">
        <f aca="false">TEXT(B701,"yyyy-mm")</f>
        <v>2024-03</v>
      </c>
    </row>
    <row r="702" customFormat="false" ht="15" hidden="false" customHeight="false" outlineLevel="0" collapsed="false">
      <c r="A702" s="7" t="s">
        <v>1338</v>
      </c>
      <c r="B702" s="7" t="s">
        <v>1339</v>
      </c>
      <c r="C702" s="7" t="s">
        <v>732</v>
      </c>
      <c r="D702" s="7" t="s">
        <v>130</v>
      </c>
      <c r="E702" s="7" t="s">
        <v>131</v>
      </c>
      <c r="F702" s="7" t="s">
        <v>72</v>
      </c>
      <c r="G702" s="7" t="s">
        <v>49</v>
      </c>
      <c r="H702" s="7" t="s">
        <v>100</v>
      </c>
      <c r="I702" s="7" t="s">
        <v>75</v>
      </c>
      <c r="J702" s="7" t="n">
        <v>4</v>
      </c>
      <c r="K702" s="8" t="n">
        <v>7899</v>
      </c>
      <c r="L702" s="9" t="n">
        <v>0.25</v>
      </c>
      <c r="M702" s="8" t="n">
        <v>13623.32</v>
      </c>
      <c r="N702" s="8" t="n">
        <f aca="false">J702*K702*(1-L702)</f>
        <v>23697</v>
      </c>
      <c r="O702" s="8" t="n">
        <f aca="false">N702-M702</f>
        <v>10073.68</v>
      </c>
      <c r="P702" s="10" t="n">
        <f aca="false">IFERROR(O702/N702,0)</f>
        <v>0.425103599611765</v>
      </c>
      <c r="Q702" s="7" t="str">
        <f aca="false">TEXT(B702,"mmm")</f>
        <v>Apr</v>
      </c>
      <c r="R702" s="7" t="str">
        <f aca="false">TEXT(B702,"yyyy-mm")</f>
        <v>2024-04</v>
      </c>
    </row>
    <row r="703" customFormat="false" ht="15" hidden="false" customHeight="false" outlineLevel="0" collapsed="false">
      <c r="A703" s="7" t="s">
        <v>1340</v>
      </c>
      <c r="B703" s="7" t="s">
        <v>956</v>
      </c>
      <c r="C703" s="7" t="s">
        <v>816</v>
      </c>
      <c r="D703" s="7" t="s">
        <v>113</v>
      </c>
      <c r="E703" s="7" t="s">
        <v>114</v>
      </c>
      <c r="F703" s="7" t="s">
        <v>57</v>
      </c>
      <c r="G703" s="7" t="s">
        <v>81</v>
      </c>
      <c r="H703" s="7" t="s">
        <v>186</v>
      </c>
      <c r="I703" s="7" t="s">
        <v>75</v>
      </c>
      <c r="J703" s="7" t="n">
        <v>5</v>
      </c>
      <c r="K703" s="8" t="n">
        <v>3069</v>
      </c>
      <c r="L703" s="9" t="n">
        <v>0.05</v>
      </c>
      <c r="M703" s="8" t="n">
        <v>11460.4</v>
      </c>
      <c r="N703" s="8" t="n">
        <f aca="false">J703*K703*(1-L703)</f>
        <v>14577.75</v>
      </c>
      <c r="O703" s="8" t="n">
        <f aca="false">N703-M703</f>
        <v>3117.35</v>
      </c>
      <c r="P703" s="10" t="n">
        <f aca="false">IFERROR(O703/N703,0)</f>
        <v>0.213843014182573</v>
      </c>
      <c r="Q703" s="7" t="str">
        <f aca="false">TEXT(B703,"mmm")</f>
        <v>May</v>
      </c>
      <c r="R703" s="7" t="str">
        <f aca="false">TEXT(B703,"yyyy-mm")</f>
        <v>2024-05</v>
      </c>
    </row>
    <row r="704" customFormat="false" ht="15" hidden="false" customHeight="false" outlineLevel="0" collapsed="false">
      <c r="A704" s="7" t="s">
        <v>1341</v>
      </c>
      <c r="B704" s="7" t="s">
        <v>1342</v>
      </c>
      <c r="C704" s="7" t="s">
        <v>419</v>
      </c>
      <c r="D704" s="7" t="s">
        <v>215</v>
      </c>
      <c r="E704" s="7" t="s">
        <v>216</v>
      </c>
      <c r="F704" s="7" t="s">
        <v>57</v>
      </c>
      <c r="G704" s="7" t="s">
        <v>73</v>
      </c>
      <c r="H704" s="7" t="s">
        <v>115</v>
      </c>
      <c r="I704" s="7" t="s">
        <v>51</v>
      </c>
      <c r="J704" s="7" t="n">
        <v>5</v>
      </c>
      <c r="K704" s="8" t="n">
        <v>3749</v>
      </c>
      <c r="L704" s="9" t="n">
        <v>0</v>
      </c>
      <c r="M704" s="8" t="n">
        <v>14307.95</v>
      </c>
      <c r="N704" s="8" t="n">
        <f aca="false">J704*K704*(1-L704)</f>
        <v>18745</v>
      </c>
      <c r="O704" s="8" t="n">
        <f aca="false">N704-M704</f>
        <v>4437.05</v>
      </c>
      <c r="P704" s="10" t="n">
        <f aca="false">IFERROR(O704/N704,0)</f>
        <v>0.236705788210189</v>
      </c>
      <c r="Q704" s="7" t="str">
        <f aca="false">TEXT(B704,"mmm")</f>
        <v>Apr</v>
      </c>
      <c r="R704" s="7" t="str">
        <f aca="false">TEXT(B704,"yyyy-mm")</f>
        <v>2024-04</v>
      </c>
    </row>
    <row r="705" customFormat="false" ht="15" hidden="false" customHeight="false" outlineLevel="0" collapsed="false">
      <c r="A705" s="7" t="s">
        <v>1343</v>
      </c>
      <c r="B705" s="7" t="s">
        <v>854</v>
      </c>
      <c r="C705" s="7" t="s">
        <v>112</v>
      </c>
      <c r="D705" s="7" t="s">
        <v>549</v>
      </c>
      <c r="E705" s="7" t="s">
        <v>550</v>
      </c>
      <c r="F705" s="7" t="s">
        <v>48</v>
      </c>
      <c r="G705" s="7" t="s">
        <v>49</v>
      </c>
      <c r="H705" s="7" t="s">
        <v>58</v>
      </c>
      <c r="I705" s="7" t="s">
        <v>75</v>
      </c>
      <c r="J705" s="7" t="n">
        <v>5</v>
      </c>
      <c r="K705" s="8" t="n">
        <v>3419</v>
      </c>
      <c r="L705" s="9" t="n">
        <v>0.05</v>
      </c>
      <c r="M705" s="8" t="n">
        <v>12551.6</v>
      </c>
      <c r="N705" s="8" t="n">
        <f aca="false">J705*K705*(1-L705)</f>
        <v>16240.25</v>
      </c>
      <c r="O705" s="8" t="n">
        <f aca="false">N705-M705</f>
        <v>3688.65</v>
      </c>
      <c r="P705" s="10" t="n">
        <f aca="false">IFERROR(O705/N705,0)</f>
        <v>0.227130124228383</v>
      </c>
      <c r="Q705" s="7" t="str">
        <f aca="false">TEXT(B705,"mmm")</f>
        <v>Aug</v>
      </c>
      <c r="R705" s="7" t="str">
        <f aca="false">TEXT(B705,"yyyy-mm")</f>
        <v>2024-08</v>
      </c>
    </row>
    <row r="706" customFormat="false" ht="15" hidden="false" customHeight="false" outlineLevel="0" collapsed="false">
      <c r="A706" s="7" t="s">
        <v>1344</v>
      </c>
      <c r="B706" s="7" t="s">
        <v>188</v>
      </c>
      <c r="C706" s="7" t="s">
        <v>134</v>
      </c>
      <c r="D706" s="7" t="s">
        <v>119</v>
      </c>
      <c r="E706" s="7" t="s">
        <v>120</v>
      </c>
      <c r="F706" s="7" t="s">
        <v>88</v>
      </c>
      <c r="G706" s="7" t="s">
        <v>49</v>
      </c>
      <c r="H706" s="7" t="s">
        <v>172</v>
      </c>
      <c r="I706" s="7" t="s">
        <v>51</v>
      </c>
      <c r="J706" s="7" t="n">
        <v>1</v>
      </c>
      <c r="K706" s="8" t="n">
        <v>620</v>
      </c>
      <c r="L706" s="9" t="n">
        <v>0</v>
      </c>
      <c r="M706" s="8" t="n">
        <v>454.55</v>
      </c>
      <c r="N706" s="8" t="n">
        <f aca="false">J706*K706*(1-L706)</f>
        <v>620</v>
      </c>
      <c r="O706" s="8" t="n">
        <f aca="false">N706-M706</f>
        <v>165.45</v>
      </c>
      <c r="P706" s="10" t="n">
        <f aca="false">IFERROR(O706/N706,0)</f>
        <v>0.266854838709677</v>
      </c>
      <c r="Q706" s="7" t="str">
        <f aca="false">TEXT(B706,"mmm")</f>
        <v>Jul</v>
      </c>
      <c r="R706" s="7" t="str">
        <f aca="false">TEXT(B706,"yyyy-mm")</f>
        <v>2024-07</v>
      </c>
    </row>
    <row r="707" customFormat="false" ht="15" hidden="false" customHeight="false" outlineLevel="0" collapsed="false">
      <c r="A707" s="7" t="s">
        <v>1345</v>
      </c>
      <c r="B707" s="7" t="s">
        <v>1019</v>
      </c>
      <c r="C707" s="7" t="s">
        <v>383</v>
      </c>
      <c r="D707" s="7" t="s">
        <v>360</v>
      </c>
      <c r="E707" s="7" t="s">
        <v>361</v>
      </c>
      <c r="F707" s="7" t="s">
        <v>48</v>
      </c>
      <c r="G707" s="7" t="s">
        <v>81</v>
      </c>
      <c r="H707" s="7" t="s">
        <v>109</v>
      </c>
      <c r="I707" s="7" t="s">
        <v>51</v>
      </c>
      <c r="J707" s="7" t="n">
        <v>3</v>
      </c>
      <c r="K707" s="8" t="n">
        <v>679</v>
      </c>
      <c r="L707" s="9" t="n">
        <v>0</v>
      </c>
      <c r="M707" s="8" t="n">
        <v>1382.1</v>
      </c>
      <c r="N707" s="8" t="n">
        <f aca="false">J707*K707*(1-L707)</f>
        <v>2037</v>
      </c>
      <c r="O707" s="8" t="n">
        <f aca="false">N707-M707</f>
        <v>654.9</v>
      </c>
      <c r="P707" s="10" t="n">
        <f aca="false">IFERROR(O707/N707,0)</f>
        <v>0.321502209131075</v>
      </c>
      <c r="Q707" s="7" t="str">
        <f aca="false">TEXT(B707,"mmm")</f>
        <v>Jul</v>
      </c>
      <c r="R707" s="7" t="str">
        <f aca="false">TEXT(B707,"yyyy-mm")</f>
        <v>2024-07</v>
      </c>
    </row>
    <row r="708" customFormat="false" ht="15" hidden="false" customHeight="false" outlineLevel="0" collapsed="false">
      <c r="A708" s="7" t="s">
        <v>1346</v>
      </c>
      <c r="B708" s="7" t="s">
        <v>298</v>
      </c>
      <c r="C708" s="7" t="s">
        <v>299</v>
      </c>
      <c r="D708" s="7" t="s">
        <v>149</v>
      </c>
      <c r="E708" s="7" t="s">
        <v>150</v>
      </c>
      <c r="F708" s="7" t="s">
        <v>88</v>
      </c>
      <c r="G708" s="7" t="s">
        <v>49</v>
      </c>
      <c r="H708" s="7" t="s">
        <v>50</v>
      </c>
      <c r="I708" s="7" t="s">
        <v>51</v>
      </c>
      <c r="J708" s="7" t="n">
        <v>2</v>
      </c>
      <c r="K708" s="8" t="n">
        <v>5219</v>
      </c>
      <c r="L708" s="9" t="n">
        <v>0</v>
      </c>
      <c r="M708" s="8" t="n">
        <v>6982.08</v>
      </c>
      <c r="N708" s="8" t="n">
        <f aca="false">J708*K708*(1-L708)</f>
        <v>10438</v>
      </c>
      <c r="O708" s="8" t="n">
        <f aca="false">N708-M708</f>
        <v>3455.92</v>
      </c>
      <c r="P708" s="10" t="n">
        <f aca="false">IFERROR(O708/N708,0)</f>
        <v>0.331090247173788</v>
      </c>
      <c r="Q708" s="7" t="str">
        <f aca="false">TEXT(B708,"mmm")</f>
        <v>Jul</v>
      </c>
      <c r="R708" s="7" t="str">
        <f aca="false">TEXT(B708,"yyyy-mm")</f>
        <v>2024-07</v>
      </c>
    </row>
    <row r="709" customFormat="false" ht="15" hidden="false" customHeight="false" outlineLevel="0" collapsed="false">
      <c r="A709" s="7" t="s">
        <v>1347</v>
      </c>
      <c r="B709" s="7" t="s">
        <v>1348</v>
      </c>
      <c r="C709" s="7" t="s">
        <v>169</v>
      </c>
      <c r="D709" s="7" t="s">
        <v>135</v>
      </c>
      <c r="E709" s="7" t="s">
        <v>136</v>
      </c>
      <c r="F709" s="7" t="s">
        <v>72</v>
      </c>
      <c r="G709" s="7" t="s">
        <v>73</v>
      </c>
      <c r="H709" s="7" t="s">
        <v>74</v>
      </c>
      <c r="I709" s="7" t="s">
        <v>75</v>
      </c>
      <c r="J709" s="7" t="n">
        <v>1</v>
      </c>
      <c r="K709" s="8" t="n">
        <v>7029</v>
      </c>
      <c r="L709" s="9" t="n">
        <v>0.25</v>
      </c>
      <c r="M709" s="8" t="n">
        <v>3487.01</v>
      </c>
      <c r="N709" s="8" t="n">
        <f aca="false">J709*K709*(1-L709)</f>
        <v>5271.75</v>
      </c>
      <c r="O709" s="8" t="n">
        <f aca="false">N709-M709</f>
        <v>1784.74</v>
      </c>
      <c r="P709" s="10" t="n">
        <f aca="false">IFERROR(O709/N709,0)</f>
        <v>0.338547920519751</v>
      </c>
      <c r="Q709" s="7" t="str">
        <f aca="false">TEXT(B709,"mmm")</f>
        <v>Jun</v>
      </c>
      <c r="R709" s="7" t="str">
        <f aca="false">TEXT(B709,"yyyy-mm")</f>
        <v>2024-06</v>
      </c>
    </row>
    <row r="710" customFormat="false" ht="15" hidden="false" customHeight="false" outlineLevel="0" collapsed="false">
      <c r="A710" s="7" t="s">
        <v>1349</v>
      </c>
      <c r="B710" s="7" t="s">
        <v>213</v>
      </c>
      <c r="C710" s="7" t="s">
        <v>416</v>
      </c>
      <c r="D710" s="7" t="s">
        <v>55</v>
      </c>
      <c r="E710" s="7" t="s">
        <v>56</v>
      </c>
      <c r="F710" s="7" t="s">
        <v>57</v>
      </c>
      <c r="G710" s="7" t="s">
        <v>73</v>
      </c>
      <c r="H710" s="7" t="s">
        <v>115</v>
      </c>
      <c r="I710" s="7" t="s">
        <v>75</v>
      </c>
      <c r="J710" s="7" t="n">
        <v>4</v>
      </c>
      <c r="K710" s="8" t="n">
        <v>2850</v>
      </c>
      <c r="L710" s="9" t="n">
        <v>0.15</v>
      </c>
      <c r="M710" s="8" t="n">
        <v>8512.6</v>
      </c>
      <c r="N710" s="8" t="n">
        <f aca="false">J710*K710*(1-L710)</f>
        <v>9690</v>
      </c>
      <c r="O710" s="8" t="n">
        <f aca="false">N710-M710</f>
        <v>1177.4</v>
      </c>
      <c r="P710" s="10" t="n">
        <f aca="false">IFERROR(O710/N710,0)</f>
        <v>0.121506707946336</v>
      </c>
      <c r="Q710" s="7" t="str">
        <f aca="false">TEXT(B710,"mmm")</f>
        <v>May</v>
      </c>
      <c r="R710" s="7" t="str">
        <f aca="false">TEXT(B710,"yyyy-mm")</f>
        <v>2024-05</v>
      </c>
    </row>
    <row r="711" customFormat="false" ht="15" hidden="false" customHeight="false" outlineLevel="0" collapsed="false">
      <c r="A711" s="7" t="s">
        <v>1350</v>
      </c>
      <c r="B711" s="7" t="s">
        <v>799</v>
      </c>
      <c r="C711" s="7" t="s">
        <v>721</v>
      </c>
      <c r="D711" s="7" t="s">
        <v>244</v>
      </c>
      <c r="E711" s="7" t="s">
        <v>245</v>
      </c>
      <c r="F711" s="7" t="s">
        <v>88</v>
      </c>
      <c r="G711" s="7" t="s">
        <v>65</v>
      </c>
      <c r="H711" s="7" t="s">
        <v>106</v>
      </c>
      <c r="I711" s="7" t="s">
        <v>51</v>
      </c>
      <c r="J711" s="7" t="n">
        <v>6</v>
      </c>
      <c r="K711" s="8" t="n">
        <v>5319</v>
      </c>
      <c r="L711" s="9" t="n">
        <v>0.2</v>
      </c>
      <c r="M711" s="8" t="n">
        <v>18514.98</v>
      </c>
      <c r="N711" s="8" t="n">
        <f aca="false">J711*K711*(1-L711)</f>
        <v>25531.2</v>
      </c>
      <c r="O711" s="8" t="n">
        <f aca="false">N711-M711</f>
        <v>7016.22</v>
      </c>
      <c r="P711" s="10" t="n">
        <f aca="false">IFERROR(O711/N711,0)</f>
        <v>0.274809644670051</v>
      </c>
      <c r="Q711" s="7" t="str">
        <f aca="false">TEXT(B711,"mmm")</f>
        <v>Oct</v>
      </c>
      <c r="R711" s="7" t="str">
        <f aca="false">TEXT(B711,"yyyy-mm")</f>
        <v>2024-10</v>
      </c>
    </row>
    <row r="712" customFormat="false" ht="15" hidden="false" customHeight="false" outlineLevel="0" collapsed="false">
      <c r="A712" s="7" t="s">
        <v>1351</v>
      </c>
      <c r="B712" s="7" t="s">
        <v>638</v>
      </c>
      <c r="C712" s="7" t="s">
        <v>935</v>
      </c>
      <c r="D712" s="7" t="s">
        <v>343</v>
      </c>
      <c r="E712" s="7" t="s">
        <v>344</v>
      </c>
      <c r="F712" s="7" t="s">
        <v>88</v>
      </c>
      <c r="G712" s="7" t="s">
        <v>65</v>
      </c>
      <c r="H712" s="7" t="s">
        <v>106</v>
      </c>
      <c r="I712" s="7" t="s">
        <v>51</v>
      </c>
      <c r="J712" s="7" t="n">
        <v>4</v>
      </c>
      <c r="K712" s="8" t="n">
        <v>2169</v>
      </c>
      <c r="L712" s="9" t="n">
        <v>0</v>
      </c>
      <c r="M712" s="8" t="n">
        <v>5975.6</v>
      </c>
      <c r="N712" s="8" t="n">
        <f aca="false">J712*K712*(1-L712)</f>
        <v>8676</v>
      </c>
      <c r="O712" s="8" t="n">
        <f aca="false">N712-M712</f>
        <v>2700.4</v>
      </c>
      <c r="P712" s="10" t="n">
        <f aca="false">IFERROR(O712/N712,0)</f>
        <v>0.311249423697556</v>
      </c>
      <c r="Q712" s="7" t="str">
        <f aca="false">TEXT(B712,"mmm")</f>
        <v>Jul</v>
      </c>
      <c r="R712" s="7" t="str">
        <f aca="false">TEXT(B712,"yyyy-mm")</f>
        <v>2024-07</v>
      </c>
    </row>
    <row r="713" customFormat="false" ht="15" hidden="false" customHeight="false" outlineLevel="0" collapsed="false">
      <c r="A713" s="7" t="s">
        <v>1352</v>
      </c>
      <c r="B713" s="7" t="s">
        <v>701</v>
      </c>
      <c r="C713" s="7" t="s">
        <v>742</v>
      </c>
      <c r="D713" s="7" t="s">
        <v>149</v>
      </c>
      <c r="E713" s="7" t="s">
        <v>150</v>
      </c>
      <c r="F713" s="7" t="s">
        <v>88</v>
      </c>
      <c r="G713" s="7" t="s">
        <v>49</v>
      </c>
      <c r="H713" s="7" t="s">
        <v>58</v>
      </c>
      <c r="I713" s="7" t="s">
        <v>51</v>
      </c>
      <c r="J713" s="7" t="n">
        <v>7</v>
      </c>
      <c r="K713" s="8" t="n">
        <v>5219</v>
      </c>
      <c r="L713" s="9" t="n">
        <v>0.25</v>
      </c>
      <c r="M713" s="8" t="n">
        <v>24437.28</v>
      </c>
      <c r="N713" s="8" t="n">
        <f aca="false">J713*K713*(1-L713)</f>
        <v>27399.75</v>
      </c>
      <c r="O713" s="8" t="n">
        <f aca="false">N713-M713</f>
        <v>2962.47</v>
      </c>
      <c r="P713" s="10" t="n">
        <f aca="false">IFERROR(O713/N713,0)</f>
        <v>0.108120329565051</v>
      </c>
      <c r="Q713" s="7" t="str">
        <f aca="false">TEXT(B713,"mmm")</f>
        <v>Dec</v>
      </c>
      <c r="R713" s="7" t="str">
        <f aca="false">TEXT(B713,"yyyy-mm")</f>
        <v>2024-12</v>
      </c>
    </row>
    <row r="714" customFormat="false" ht="15" hidden="false" customHeight="false" outlineLevel="0" collapsed="false">
      <c r="A714" s="7" t="s">
        <v>1353</v>
      </c>
      <c r="B714" s="7" t="s">
        <v>255</v>
      </c>
      <c r="C714" s="7" t="s">
        <v>269</v>
      </c>
      <c r="D714" s="7" t="s">
        <v>206</v>
      </c>
      <c r="E714" s="7" t="s">
        <v>207</v>
      </c>
      <c r="F714" s="7" t="s">
        <v>88</v>
      </c>
      <c r="G714" s="7" t="s">
        <v>81</v>
      </c>
      <c r="H714" s="7" t="s">
        <v>237</v>
      </c>
      <c r="I714" s="7" t="s">
        <v>51</v>
      </c>
      <c r="J714" s="7" t="n">
        <v>3</v>
      </c>
      <c r="K714" s="8" t="n">
        <v>1029</v>
      </c>
      <c r="L714" s="9" t="n">
        <v>0</v>
      </c>
      <c r="M714" s="8" t="n">
        <v>1885.86</v>
      </c>
      <c r="N714" s="8" t="n">
        <f aca="false">J714*K714*(1-L714)</f>
        <v>3087</v>
      </c>
      <c r="O714" s="8" t="n">
        <f aca="false">N714-M714</f>
        <v>1201.14</v>
      </c>
      <c r="P714" s="10" t="n">
        <f aca="false">IFERROR(O714/N714,0)</f>
        <v>0.389096209912536</v>
      </c>
      <c r="Q714" s="7" t="str">
        <f aca="false">TEXT(B714,"mmm")</f>
        <v>Jan</v>
      </c>
      <c r="R714" s="7" t="str">
        <f aca="false">TEXT(B714,"yyyy-mm")</f>
        <v>2024-01</v>
      </c>
    </row>
    <row r="715" customFormat="false" ht="15" hidden="false" customHeight="false" outlineLevel="0" collapsed="false">
      <c r="A715" s="7" t="s">
        <v>1354</v>
      </c>
      <c r="B715" s="7" t="s">
        <v>458</v>
      </c>
      <c r="C715" s="7" t="s">
        <v>330</v>
      </c>
      <c r="D715" s="7" t="s">
        <v>170</v>
      </c>
      <c r="E715" s="7" t="s">
        <v>171</v>
      </c>
      <c r="F715" s="7" t="s">
        <v>88</v>
      </c>
      <c r="G715" s="7" t="s">
        <v>65</v>
      </c>
      <c r="H715" s="7" t="s">
        <v>126</v>
      </c>
      <c r="I715" s="7" t="s">
        <v>51</v>
      </c>
      <c r="J715" s="7" t="n">
        <v>1</v>
      </c>
      <c r="K715" s="8" t="n">
        <v>5749</v>
      </c>
      <c r="L715" s="9" t="n">
        <v>0</v>
      </c>
      <c r="M715" s="8" t="n">
        <v>3157.71</v>
      </c>
      <c r="N715" s="8" t="n">
        <f aca="false">J715*K715*(1-L715)</f>
        <v>5749</v>
      </c>
      <c r="O715" s="8" t="n">
        <f aca="false">N715-M715</f>
        <v>2591.29</v>
      </c>
      <c r="P715" s="10" t="n">
        <f aca="false">IFERROR(O715/N715,0)</f>
        <v>0.450737519568621</v>
      </c>
      <c r="Q715" s="7" t="str">
        <f aca="false">TEXT(B715,"mmm")</f>
        <v>Jun</v>
      </c>
      <c r="R715" s="7" t="str">
        <f aca="false">TEXT(B715,"yyyy-mm")</f>
        <v>2024-06</v>
      </c>
    </row>
    <row r="716" customFormat="false" ht="15" hidden="false" customHeight="false" outlineLevel="0" collapsed="false">
      <c r="A716" s="7" t="s">
        <v>1355</v>
      </c>
      <c r="B716" s="7" t="s">
        <v>408</v>
      </c>
      <c r="C716" s="7" t="s">
        <v>502</v>
      </c>
      <c r="D716" s="7" t="s">
        <v>149</v>
      </c>
      <c r="E716" s="7" t="s">
        <v>150</v>
      </c>
      <c r="F716" s="7" t="s">
        <v>88</v>
      </c>
      <c r="G716" s="7" t="s">
        <v>65</v>
      </c>
      <c r="H716" s="7" t="s">
        <v>66</v>
      </c>
      <c r="I716" s="7" t="s">
        <v>51</v>
      </c>
      <c r="J716" s="7" t="n">
        <v>4</v>
      </c>
      <c r="K716" s="8" t="n">
        <v>5219</v>
      </c>
      <c r="L716" s="9" t="n">
        <v>0.1</v>
      </c>
      <c r="M716" s="8" t="n">
        <v>13964.16</v>
      </c>
      <c r="N716" s="8" t="n">
        <f aca="false">J716*K716*(1-L716)</f>
        <v>18788.4</v>
      </c>
      <c r="O716" s="8" t="n">
        <f aca="false">N716-M716</f>
        <v>4824.24</v>
      </c>
      <c r="P716" s="10" t="n">
        <f aca="false">IFERROR(O716/N716,0)</f>
        <v>0.256766941304209</v>
      </c>
      <c r="Q716" s="7" t="str">
        <f aca="false">TEXT(B716,"mmm")</f>
        <v>Jul</v>
      </c>
      <c r="R716" s="7" t="str">
        <f aca="false">TEXT(B716,"yyyy-mm")</f>
        <v>2024-07</v>
      </c>
    </row>
    <row r="717" customFormat="false" ht="15" hidden="false" customHeight="false" outlineLevel="0" collapsed="false">
      <c r="A717" s="7" t="s">
        <v>1356</v>
      </c>
      <c r="B717" s="7" t="s">
        <v>138</v>
      </c>
      <c r="C717" s="7" t="s">
        <v>166</v>
      </c>
      <c r="D717" s="7" t="s">
        <v>62</v>
      </c>
      <c r="E717" s="7" t="s">
        <v>63</v>
      </c>
      <c r="F717" s="7" t="s">
        <v>64</v>
      </c>
      <c r="G717" s="7" t="s">
        <v>49</v>
      </c>
      <c r="H717" s="7" t="s">
        <v>50</v>
      </c>
      <c r="I717" s="7" t="s">
        <v>51</v>
      </c>
      <c r="J717" s="7" t="n">
        <v>4</v>
      </c>
      <c r="K717" s="8" t="n">
        <v>7079</v>
      </c>
      <c r="L717" s="9" t="n">
        <v>0.15</v>
      </c>
      <c r="M717" s="8" t="n">
        <v>10959.12</v>
      </c>
      <c r="N717" s="8" t="n">
        <f aca="false">J717*K717*(1-L717)</f>
        <v>24068.6</v>
      </c>
      <c r="O717" s="8" t="n">
        <f aca="false">N717-M717</f>
        <v>13109.48</v>
      </c>
      <c r="P717" s="10" t="n">
        <f aca="false">IFERROR(O717/N717,0)</f>
        <v>0.544671480684377</v>
      </c>
      <c r="Q717" s="7" t="str">
        <f aca="false">TEXT(B717,"mmm")</f>
        <v>Jan</v>
      </c>
      <c r="R717" s="7" t="str">
        <f aca="false">TEXT(B717,"yyyy-mm")</f>
        <v>2024-01</v>
      </c>
    </row>
    <row r="718" customFormat="false" ht="15" hidden="false" customHeight="false" outlineLevel="0" collapsed="false">
      <c r="A718" s="7" t="s">
        <v>1357</v>
      </c>
      <c r="B718" s="7" t="s">
        <v>204</v>
      </c>
      <c r="C718" s="7" t="s">
        <v>502</v>
      </c>
      <c r="D718" s="7" t="s">
        <v>260</v>
      </c>
      <c r="E718" s="7" t="s">
        <v>261</v>
      </c>
      <c r="F718" s="7" t="s">
        <v>72</v>
      </c>
      <c r="G718" s="7" t="s">
        <v>49</v>
      </c>
      <c r="H718" s="7" t="s">
        <v>100</v>
      </c>
      <c r="I718" s="7" t="s">
        <v>51</v>
      </c>
      <c r="J718" s="7" t="n">
        <v>8</v>
      </c>
      <c r="K718" s="8" t="n">
        <v>4879</v>
      </c>
      <c r="L718" s="9" t="n">
        <v>0</v>
      </c>
      <c r="M718" s="8" t="n">
        <v>19469.84</v>
      </c>
      <c r="N718" s="8" t="n">
        <f aca="false">J718*K718*(1-L718)</f>
        <v>39032</v>
      </c>
      <c r="O718" s="8" t="n">
        <f aca="false">N718-M718</f>
        <v>19562.16</v>
      </c>
      <c r="P718" s="10" t="n">
        <f aca="false">IFERROR(O718/N718,0)</f>
        <v>0.501182619389219</v>
      </c>
      <c r="Q718" s="7" t="str">
        <f aca="false">TEXT(B718,"mmm")</f>
        <v>Apr</v>
      </c>
      <c r="R718" s="7" t="str">
        <f aca="false">TEXT(B718,"yyyy-mm")</f>
        <v>2024-04</v>
      </c>
    </row>
    <row r="719" customFormat="false" ht="15" hidden="false" customHeight="false" outlineLevel="0" collapsed="false">
      <c r="A719" s="7" t="s">
        <v>1358</v>
      </c>
      <c r="B719" s="7" t="s">
        <v>329</v>
      </c>
      <c r="C719" s="7" t="s">
        <v>994</v>
      </c>
      <c r="D719" s="7" t="s">
        <v>95</v>
      </c>
      <c r="E719" s="7" t="s">
        <v>96</v>
      </c>
      <c r="F719" s="7" t="s">
        <v>48</v>
      </c>
      <c r="G719" s="7" t="s">
        <v>81</v>
      </c>
      <c r="H719" s="7" t="s">
        <v>237</v>
      </c>
      <c r="I719" s="7" t="s">
        <v>51</v>
      </c>
      <c r="J719" s="7" t="n">
        <v>4</v>
      </c>
      <c r="K719" s="8" t="n">
        <v>5529</v>
      </c>
      <c r="L719" s="9" t="n">
        <v>0</v>
      </c>
      <c r="M719" s="8" t="n">
        <v>12465.04</v>
      </c>
      <c r="N719" s="8" t="n">
        <f aca="false">J719*K719*(1-L719)</f>
        <v>22116</v>
      </c>
      <c r="O719" s="8" t="n">
        <f aca="false">N719-M719</f>
        <v>9650.96</v>
      </c>
      <c r="P719" s="10" t="n">
        <f aca="false">IFERROR(O719/N719,0)</f>
        <v>0.436379092060047</v>
      </c>
      <c r="Q719" s="7" t="str">
        <f aca="false">TEXT(B719,"mmm")</f>
        <v>Sep</v>
      </c>
      <c r="R719" s="7" t="str">
        <f aca="false">TEXT(B719,"yyyy-mm")</f>
        <v>2024-09</v>
      </c>
    </row>
    <row r="720" customFormat="false" ht="15" hidden="false" customHeight="false" outlineLevel="0" collapsed="false">
      <c r="A720" s="7" t="s">
        <v>1359</v>
      </c>
      <c r="B720" s="7" t="s">
        <v>1360</v>
      </c>
      <c r="C720" s="7" t="s">
        <v>1241</v>
      </c>
      <c r="D720" s="7" t="s">
        <v>464</v>
      </c>
      <c r="E720" s="7" t="s">
        <v>465</v>
      </c>
      <c r="F720" s="7" t="s">
        <v>48</v>
      </c>
      <c r="G720" s="7" t="s">
        <v>73</v>
      </c>
      <c r="H720" s="7" t="s">
        <v>266</v>
      </c>
      <c r="I720" s="7" t="s">
        <v>75</v>
      </c>
      <c r="J720" s="7" t="n">
        <v>3</v>
      </c>
      <c r="K720" s="8" t="n">
        <v>799</v>
      </c>
      <c r="L720" s="9" t="n">
        <v>0.1</v>
      </c>
      <c r="M720" s="8" t="n">
        <v>1241.94</v>
      </c>
      <c r="N720" s="8" t="n">
        <f aca="false">J720*K720*(1-L720)</f>
        <v>2157.3</v>
      </c>
      <c r="O720" s="8" t="n">
        <f aca="false">N720-M720</f>
        <v>915.36</v>
      </c>
      <c r="P720" s="10" t="n">
        <f aca="false">IFERROR(O720/N720,0)</f>
        <v>0.424308162981505</v>
      </c>
      <c r="Q720" s="7" t="str">
        <f aca="false">TEXT(B720,"mmm")</f>
        <v>Aug</v>
      </c>
      <c r="R720" s="7" t="str">
        <f aca="false">TEXT(B720,"yyyy-mm")</f>
        <v>2024-08</v>
      </c>
    </row>
    <row r="721" customFormat="false" ht="15" hidden="false" customHeight="false" outlineLevel="0" collapsed="false">
      <c r="A721" s="7" t="s">
        <v>1361</v>
      </c>
      <c r="B721" s="7" t="s">
        <v>858</v>
      </c>
      <c r="C721" s="7" t="s">
        <v>512</v>
      </c>
      <c r="D721" s="7" t="s">
        <v>549</v>
      </c>
      <c r="E721" s="7" t="s">
        <v>550</v>
      </c>
      <c r="F721" s="7" t="s">
        <v>48</v>
      </c>
      <c r="G721" s="7" t="s">
        <v>65</v>
      </c>
      <c r="H721" s="7" t="s">
        <v>66</v>
      </c>
      <c r="I721" s="7" t="s">
        <v>75</v>
      </c>
      <c r="J721" s="7" t="n">
        <v>5</v>
      </c>
      <c r="K721" s="8" t="n">
        <v>3419</v>
      </c>
      <c r="L721" s="9" t="n">
        <v>0.2</v>
      </c>
      <c r="M721" s="8" t="n">
        <v>12551.6</v>
      </c>
      <c r="N721" s="8" t="n">
        <f aca="false">J721*K721*(1-L721)</f>
        <v>13676</v>
      </c>
      <c r="O721" s="8" t="n">
        <f aca="false">N721-M721</f>
        <v>1124.4</v>
      </c>
      <c r="P721" s="10" t="n">
        <f aca="false">IFERROR(O721/N721,0)</f>
        <v>0.082217022521205</v>
      </c>
      <c r="Q721" s="7" t="str">
        <f aca="false">TEXT(B721,"mmm")</f>
        <v>Nov</v>
      </c>
      <c r="R721" s="7" t="str">
        <f aca="false">TEXT(B721,"yyyy-mm")</f>
        <v>2024-11</v>
      </c>
    </row>
    <row r="722" customFormat="false" ht="15" hidden="false" customHeight="false" outlineLevel="0" collapsed="false">
      <c r="A722" s="7" t="s">
        <v>1362</v>
      </c>
      <c r="B722" s="7" t="s">
        <v>195</v>
      </c>
      <c r="C722" s="7" t="s">
        <v>529</v>
      </c>
      <c r="D722" s="7" t="s">
        <v>260</v>
      </c>
      <c r="E722" s="7" t="s">
        <v>261</v>
      </c>
      <c r="F722" s="7" t="s">
        <v>72</v>
      </c>
      <c r="G722" s="7" t="s">
        <v>81</v>
      </c>
      <c r="H722" s="7" t="s">
        <v>237</v>
      </c>
      <c r="I722" s="7" t="s">
        <v>51</v>
      </c>
      <c r="J722" s="7" t="n">
        <v>1</v>
      </c>
      <c r="K722" s="8" t="n">
        <v>4879</v>
      </c>
      <c r="L722" s="9" t="n">
        <v>0.15</v>
      </c>
      <c r="M722" s="8" t="n">
        <v>2433.73</v>
      </c>
      <c r="N722" s="8" t="n">
        <f aca="false">J722*K722*(1-L722)</f>
        <v>4147.15</v>
      </c>
      <c r="O722" s="8" t="n">
        <f aca="false">N722-M722</f>
        <v>1713.42</v>
      </c>
      <c r="P722" s="10" t="n">
        <f aca="false">IFERROR(O722/N722,0)</f>
        <v>0.413156022810846</v>
      </c>
      <c r="Q722" s="7" t="str">
        <f aca="false">TEXT(B722,"mmm")</f>
        <v>Feb</v>
      </c>
      <c r="R722" s="7" t="str">
        <f aca="false">TEXT(B722,"yyyy-mm")</f>
        <v>2024-02</v>
      </c>
    </row>
    <row r="723" customFormat="false" ht="15" hidden="false" customHeight="false" outlineLevel="0" collapsed="false">
      <c r="A723" s="7" t="s">
        <v>1363</v>
      </c>
      <c r="B723" s="7" t="s">
        <v>382</v>
      </c>
      <c r="C723" s="7" t="s">
        <v>103</v>
      </c>
      <c r="D723" s="7" t="s">
        <v>135</v>
      </c>
      <c r="E723" s="7" t="s">
        <v>136</v>
      </c>
      <c r="F723" s="7" t="s">
        <v>72</v>
      </c>
      <c r="G723" s="7" t="s">
        <v>49</v>
      </c>
      <c r="H723" s="7" t="s">
        <v>58</v>
      </c>
      <c r="I723" s="7" t="s">
        <v>51</v>
      </c>
      <c r="J723" s="7" t="n">
        <v>2</v>
      </c>
      <c r="K723" s="8" t="n">
        <v>7029</v>
      </c>
      <c r="L723" s="9" t="n">
        <v>0.2</v>
      </c>
      <c r="M723" s="8" t="n">
        <v>6974.02</v>
      </c>
      <c r="N723" s="8" t="n">
        <f aca="false">J723*K723*(1-L723)</f>
        <v>11246.4</v>
      </c>
      <c r="O723" s="8" t="n">
        <f aca="false">N723-M723</f>
        <v>4272.38</v>
      </c>
      <c r="P723" s="10" t="n">
        <f aca="false">IFERROR(O723/N723,0)</f>
        <v>0.379888675487267</v>
      </c>
      <c r="Q723" s="7" t="str">
        <f aca="false">TEXT(B723,"mmm")</f>
        <v>May</v>
      </c>
      <c r="R723" s="7" t="str">
        <f aca="false">TEXT(B723,"yyyy-mm")</f>
        <v>2024-05</v>
      </c>
    </row>
    <row r="724" customFormat="false" ht="15" hidden="false" customHeight="false" outlineLevel="0" collapsed="false">
      <c r="A724" s="7" t="s">
        <v>1364</v>
      </c>
      <c r="B724" s="7" t="s">
        <v>473</v>
      </c>
      <c r="C724" s="7" t="s">
        <v>272</v>
      </c>
      <c r="D724" s="7" t="s">
        <v>201</v>
      </c>
      <c r="E724" s="7" t="s">
        <v>202</v>
      </c>
      <c r="F724" s="7" t="s">
        <v>72</v>
      </c>
      <c r="G724" s="7" t="s">
        <v>81</v>
      </c>
      <c r="H724" s="7" t="s">
        <v>82</v>
      </c>
      <c r="I724" s="7" t="s">
        <v>75</v>
      </c>
      <c r="J724" s="7" t="n">
        <v>7</v>
      </c>
      <c r="K724" s="8" t="n">
        <v>3990</v>
      </c>
      <c r="L724" s="9" t="n">
        <v>0.05</v>
      </c>
      <c r="M724" s="8" t="n">
        <v>21235.27</v>
      </c>
      <c r="N724" s="8" t="n">
        <f aca="false">J724*K724*(1-L724)</f>
        <v>26533.5</v>
      </c>
      <c r="O724" s="8" t="n">
        <f aca="false">N724-M724</f>
        <v>5298.23</v>
      </c>
      <c r="P724" s="10" t="n">
        <f aca="false">IFERROR(O724/N724,0)</f>
        <v>0.199680780899617</v>
      </c>
      <c r="Q724" s="7" t="str">
        <f aca="false">TEXT(B724,"mmm")</f>
        <v>Aug</v>
      </c>
      <c r="R724" s="7" t="str">
        <f aca="false">TEXT(B724,"yyyy-mm")</f>
        <v>2024-08</v>
      </c>
    </row>
    <row r="725" customFormat="false" ht="15" hidden="false" customHeight="false" outlineLevel="0" collapsed="false">
      <c r="A725" s="7" t="s">
        <v>1365</v>
      </c>
      <c r="B725" s="7" t="s">
        <v>1324</v>
      </c>
      <c r="C725" s="7" t="s">
        <v>259</v>
      </c>
      <c r="D725" s="7" t="s">
        <v>149</v>
      </c>
      <c r="E725" s="7" t="s">
        <v>150</v>
      </c>
      <c r="F725" s="7" t="s">
        <v>88</v>
      </c>
      <c r="G725" s="7" t="s">
        <v>49</v>
      </c>
      <c r="H725" s="7" t="s">
        <v>172</v>
      </c>
      <c r="I725" s="7" t="s">
        <v>51</v>
      </c>
      <c r="J725" s="7" t="n">
        <v>8</v>
      </c>
      <c r="K725" s="8" t="n">
        <v>5219</v>
      </c>
      <c r="L725" s="9" t="n">
        <v>0</v>
      </c>
      <c r="M725" s="8" t="n">
        <v>27928.32</v>
      </c>
      <c r="N725" s="8" t="n">
        <f aca="false">J725*K725*(1-L725)</f>
        <v>41752</v>
      </c>
      <c r="O725" s="8" t="n">
        <f aca="false">N725-M725</f>
        <v>13823.68</v>
      </c>
      <c r="P725" s="10" t="n">
        <f aca="false">IFERROR(O725/N725,0)</f>
        <v>0.331090247173788</v>
      </c>
      <c r="Q725" s="7" t="str">
        <f aca="false">TEXT(B725,"mmm")</f>
        <v>Feb</v>
      </c>
      <c r="R725" s="7" t="str">
        <f aca="false">TEXT(B725,"yyyy-mm")</f>
        <v>2024-02</v>
      </c>
    </row>
    <row r="726" customFormat="false" ht="15" hidden="false" customHeight="false" outlineLevel="0" collapsed="false">
      <c r="A726" s="7" t="s">
        <v>1366</v>
      </c>
      <c r="B726" s="7" t="s">
        <v>324</v>
      </c>
      <c r="C726" s="7" t="s">
        <v>515</v>
      </c>
      <c r="D726" s="7" t="s">
        <v>201</v>
      </c>
      <c r="E726" s="7" t="s">
        <v>202</v>
      </c>
      <c r="F726" s="7" t="s">
        <v>72</v>
      </c>
      <c r="G726" s="7" t="s">
        <v>49</v>
      </c>
      <c r="H726" s="7" t="s">
        <v>172</v>
      </c>
      <c r="I726" s="7" t="s">
        <v>51</v>
      </c>
      <c r="J726" s="7" t="n">
        <v>2</v>
      </c>
      <c r="K726" s="8" t="n">
        <v>3990</v>
      </c>
      <c r="L726" s="9" t="n">
        <v>0.1</v>
      </c>
      <c r="M726" s="8" t="n">
        <v>6067.22</v>
      </c>
      <c r="N726" s="8" t="n">
        <f aca="false">J726*K726*(1-L726)</f>
        <v>7182</v>
      </c>
      <c r="O726" s="8" t="n">
        <f aca="false">N726-M726</f>
        <v>1114.78</v>
      </c>
      <c r="P726" s="10" t="n">
        <f aca="false">IFERROR(O726/N726,0)</f>
        <v>0.155218602060707</v>
      </c>
      <c r="Q726" s="7" t="str">
        <f aca="false">TEXT(B726,"mmm")</f>
        <v>Mar</v>
      </c>
      <c r="R726" s="7" t="str">
        <f aca="false">TEXT(B726,"yyyy-mm")</f>
        <v>2024-03</v>
      </c>
    </row>
    <row r="727" customFormat="false" ht="15" hidden="false" customHeight="false" outlineLevel="0" collapsed="false">
      <c r="A727" s="7" t="s">
        <v>1367</v>
      </c>
      <c r="B727" s="7" t="s">
        <v>1368</v>
      </c>
      <c r="C727" s="7" t="s">
        <v>849</v>
      </c>
      <c r="D727" s="7" t="s">
        <v>176</v>
      </c>
      <c r="E727" s="7" t="s">
        <v>177</v>
      </c>
      <c r="F727" s="7" t="s">
        <v>72</v>
      </c>
      <c r="G727" s="7" t="s">
        <v>73</v>
      </c>
      <c r="H727" s="7" t="s">
        <v>74</v>
      </c>
      <c r="I727" s="7" t="s">
        <v>75</v>
      </c>
      <c r="J727" s="7" t="n">
        <v>5</v>
      </c>
      <c r="K727" s="8" t="n">
        <v>3969</v>
      </c>
      <c r="L727" s="9" t="n">
        <v>0.1</v>
      </c>
      <c r="M727" s="8" t="n">
        <v>10739.85</v>
      </c>
      <c r="N727" s="8" t="n">
        <f aca="false">J727*K727*(1-L727)</f>
        <v>17860.5</v>
      </c>
      <c r="O727" s="8" t="n">
        <f aca="false">N727-M727</f>
        <v>7120.65</v>
      </c>
      <c r="P727" s="10" t="n">
        <f aca="false">IFERROR(O727/N727,0)</f>
        <v>0.398681447887797</v>
      </c>
      <c r="Q727" s="7" t="str">
        <f aca="false">TEXT(B727,"mmm")</f>
        <v>May</v>
      </c>
      <c r="R727" s="7" t="str">
        <f aca="false">TEXT(B727,"yyyy-mm")</f>
        <v>2024-05</v>
      </c>
    </row>
    <row r="728" customFormat="false" ht="15" hidden="false" customHeight="false" outlineLevel="0" collapsed="false">
      <c r="A728" s="7" t="s">
        <v>1369</v>
      </c>
      <c r="B728" s="7" t="s">
        <v>469</v>
      </c>
      <c r="C728" s="7" t="s">
        <v>670</v>
      </c>
      <c r="D728" s="7" t="s">
        <v>360</v>
      </c>
      <c r="E728" s="7" t="s">
        <v>361</v>
      </c>
      <c r="F728" s="7" t="s">
        <v>48</v>
      </c>
      <c r="G728" s="7" t="s">
        <v>49</v>
      </c>
      <c r="H728" s="7" t="s">
        <v>172</v>
      </c>
      <c r="I728" s="7" t="s">
        <v>51</v>
      </c>
      <c r="J728" s="7" t="n">
        <v>6</v>
      </c>
      <c r="K728" s="8" t="n">
        <v>679</v>
      </c>
      <c r="L728" s="9" t="n">
        <v>0.15</v>
      </c>
      <c r="M728" s="8" t="n">
        <v>2764.2</v>
      </c>
      <c r="N728" s="8" t="n">
        <f aca="false">J728*K728*(1-L728)</f>
        <v>3462.9</v>
      </c>
      <c r="O728" s="8" t="n">
        <f aca="false">N728-M728</f>
        <v>698.7</v>
      </c>
      <c r="P728" s="10" t="n">
        <f aca="false">IFERROR(O728/N728,0)</f>
        <v>0.201767304860088</v>
      </c>
      <c r="Q728" s="7" t="str">
        <f aca="false">TEXT(B728,"mmm")</f>
        <v>Nov</v>
      </c>
      <c r="R728" s="7" t="str">
        <f aca="false">TEXT(B728,"yyyy-mm")</f>
        <v>2024-11</v>
      </c>
    </row>
    <row r="729" customFormat="false" ht="15" hidden="false" customHeight="false" outlineLevel="0" collapsed="false">
      <c r="A729" s="7" t="s">
        <v>1370</v>
      </c>
      <c r="B729" s="7" t="s">
        <v>1339</v>
      </c>
      <c r="C729" s="7" t="s">
        <v>272</v>
      </c>
      <c r="D729" s="7" t="s">
        <v>79</v>
      </c>
      <c r="E729" s="7" t="s">
        <v>80</v>
      </c>
      <c r="F729" s="7" t="s">
        <v>72</v>
      </c>
      <c r="G729" s="7" t="s">
        <v>65</v>
      </c>
      <c r="H729" s="7" t="s">
        <v>106</v>
      </c>
      <c r="I729" s="7" t="s">
        <v>75</v>
      </c>
      <c r="J729" s="7" t="n">
        <v>2</v>
      </c>
      <c r="K729" s="8" t="n">
        <v>4769</v>
      </c>
      <c r="L729" s="9" t="n">
        <v>0.25</v>
      </c>
      <c r="M729" s="8" t="n">
        <v>5449.62</v>
      </c>
      <c r="N729" s="8" t="n">
        <f aca="false">J729*K729*(1-L729)</f>
        <v>7153.5</v>
      </c>
      <c r="O729" s="8" t="n">
        <f aca="false">N729-M729</f>
        <v>1703.88</v>
      </c>
      <c r="P729" s="10" t="n">
        <f aca="false">IFERROR(O729/N729,0)</f>
        <v>0.238188299433844</v>
      </c>
      <c r="Q729" s="7" t="str">
        <f aca="false">TEXT(B729,"mmm")</f>
        <v>Apr</v>
      </c>
      <c r="R729" s="7" t="str">
        <f aca="false">TEXT(B729,"yyyy-mm")</f>
        <v>2024-04</v>
      </c>
    </row>
    <row r="730" customFormat="false" ht="15" hidden="false" customHeight="false" outlineLevel="0" collapsed="false">
      <c r="A730" s="7" t="s">
        <v>1371</v>
      </c>
      <c r="B730" s="7" t="s">
        <v>1303</v>
      </c>
      <c r="C730" s="7" t="s">
        <v>759</v>
      </c>
      <c r="D730" s="7" t="s">
        <v>206</v>
      </c>
      <c r="E730" s="7" t="s">
        <v>207</v>
      </c>
      <c r="F730" s="7" t="s">
        <v>88</v>
      </c>
      <c r="G730" s="7" t="s">
        <v>73</v>
      </c>
      <c r="H730" s="7" t="s">
        <v>266</v>
      </c>
      <c r="I730" s="7" t="s">
        <v>75</v>
      </c>
      <c r="J730" s="7" t="n">
        <v>5</v>
      </c>
      <c r="K730" s="8" t="n">
        <v>1029</v>
      </c>
      <c r="L730" s="9" t="n">
        <v>0.15</v>
      </c>
      <c r="M730" s="8" t="n">
        <v>3143.1</v>
      </c>
      <c r="N730" s="8" t="n">
        <f aca="false">J730*K730*(1-L730)</f>
        <v>4373.25</v>
      </c>
      <c r="O730" s="8" t="n">
        <f aca="false">N730-M730</f>
        <v>1230.15</v>
      </c>
      <c r="P730" s="10" t="n">
        <f aca="false">IFERROR(O730/N730,0)</f>
        <v>0.281289658720631</v>
      </c>
      <c r="Q730" s="7" t="str">
        <f aca="false">TEXT(B730,"mmm")</f>
        <v>Jan</v>
      </c>
      <c r="R730" s="7" t="str">
        <f aca="false">TEXT(B730,"yyyy-mm")</f>
        <v>2024-01</v>
      </c>
    </row>
    <row r="731" customFormat="false" ht="15" hidden="false" customHeight="false" outlineLevel="0" collapsed="false">
      <c r="A731" s="7" t="s">
        <v>1372</v>
      </c>
      <c r="B731" s="7" t="s">
        <v>317</v>
      </c>
      <c r="C731" s="7" t="s">
        <v>747</v>
      </c>
      <c r="D731" s="7" t="s">
        <v>441</v>
      </c>
      <c r="E731" s="7" t="s">
        <v>442</v>
      </c>
      <c r="F731" s="7" t="s">
        <v>64</v>
      </c>
      <c r="G731" s="7" t="s">
        <v>73</v>
      </c>
      <c r="H731" s="7" t="s">
        <v>115</v>
      </c>
      <c r="I731" s="7" t="s">
        <v>75</v>
      </c>
      <c r="J731" s="7" t="n">
        <v>6</v>
      </c>
      <c r="K731" s="8" t="n">
        <v>3349</v>
      </c>
      <c r="L731" s="9" t="n">
        <v>0</v>
      </c>
      <c r="M731" s="8" t="n">
        <v>13143.54</v>
      </c>
      <c r="N731" s="8" t="n">
        <f aca="false">J731*K731*(1-L731)</f>
        <v>20094</v>
      </c>
      <c r="O731" s="8" t="n">
        <f aca="false">N731-M731</f>
        <v>6950.46</v>
      </c>
      <c r="P731" s="10" t="n">
        <f aca="false">IFERROR(O731/N731,0)</f>
        <v>0.345897282770976</v>
      </c>
      <c r="Q731" s="7" t="str">
        <f aca="false">TEXT(B731,"mmm")</f>
        <v>Apr</v>
      </c>
      <c r="R731" s="7" t="str">
        <f aca="false">TEXT(B731,"yyyy-mm")</f>
        <v>2024-04</v>
      </c>
    </row>
    <row r="732" customFormat="false" ht="15" hidden="false" customHeight="false" outlineLevel="0" collapsed="false">
      <c r="A732" s="7" t="s">
        <v>1373</v>
      </c>
      <c r="B732" s="7" t="s">
        <v>495</v>
      </c>
      <c r="C732" s="7" t="s">
        <v>359</v>
      </c>
      <c r="D732" s="7" t="s">
        <v>227</v>
      </c>
      <c r="E732" s="7" t="s">
        <v>228</v>
      </c>
      <c r="F732" s="7" t="s">
        <v>64</v>
      </c>
      <c r="G732" s="7" t="s">
        <v>65</v>
      </c>
      <c r="H732" s="7" t="s">
        <v>217</v>
      </c>
      <c r="I732" s="7" t="s">
        <v>51</v>
      </c>
      <c r="J732" s="7" t="n">
        <v>6</v>
      </c>
      <c r="K732" s="8" t="n">
        <v>5529</v>
      </c>
      <c r="L732" s="9" t="n">
        <v>0</v>
      </c>
      <c r="M732" s="8" t="n">
        <v>18316.32</v>
      </c>
      <c r="N732" s="8" t="n">
        <f aca="false">J732*K732*(1-L732)</f>
        <v>33174</v>
      </c>
      <c r="O732" s="8" t="n">
        <f aca="false">N732-M732</f>
        <v>14857.68</v>
      </c>
      <c r="P732" s="10" t="n">
        <f aca="false">IFERROR(O732/N732,0)</f>
        <v>0.447871224452885</v>
      </c>
      <c r="Q732" s="7" t="str">
        <f aca="false">TEXT(B732,"mmm")</f>
        <v>Jul</v>
      </c>
      <c r="R732" s="7" t="str">
        <f aca="false">TEXT(B732,"yyyy-mm")</f>
        <v>2024-07</v>
      </c>
    </row>
    <row r="733" customFormat="false" ht="15" hidden="false" customHeight="false" outlineLevel="0" collapsed="false">
      <c r="A733" s="7" t="s">
        <v>1374</v>
      </c>
      <c r="B733" s="7" t="s">
        <v>595</v>
      </c>
      <c r="C733" s="7" t="s">
        <v>518</v>
      </c>
      <c r="D733" s="7" t="s">
        <v>215</v>
      </c>
      <c r="E733" s="7" t="s">
        <v>216</v>
      </c>
      <c r="F733" s="7" t="s">
        <v>57</v>
      </c>
      <c r="G733" s="7" t="s">
        <v>49</v>
      </c>
      <c r="H733" s="7" t="s">
        <v>58</v>
      </c>
      <c r="I733" s="7" t="s">
        <v>51</v>
      </c>
      <c r="J733" s="7" t="n">
        <v>3</v>
      </c>
      <c r="K733" s="8" t="n">
        <v>3749</v>
      </c>
      <c r="L733" s="9" t="n">
        <v>0</v>
      </c>
      <c r="M733" s="8" t="n">
        <v>8584.77</v>
      </c>
      <c r="N733" s="8" t="n">
        <f aca="false">J733*K733*(1-L733)</f>
        <v>11247</v>
      </c>
      <c r="O733" s="8" t="n">
        <f aca="false">N733-M733</f>
        <v>2662.23</v>
      </c>
      <c r="P733" s="10" t="n">
        <f aca="false">IFERROR(O733/N733,0)</f>
        <v>0.236705788210189</v>
      </c>
      <c r="Q733" s="7" t="str">
        <f aca="false">TEXT(B733,"mmm")</f>
        <v>Jun</v>
      </c>
      <c r="R733" s="7" t="str">
        <f aca="false">TEXT(B733,"yyyy-mm")</f>
        <v>2024-06</v>
      </c>
    </row>
    <row r="734" customFormat="false" ht="15" hidden="false" customHeight="false" outlineLevel="0" collapsed="false">
      <c r="A734" s="7" t="s">
        <v>1375</v>
      </c>
      <c r="B734" s="7" t="s">
        <v>501</v>
      </c>
      <c r="C734" s="7" t="s">
        <v>920</v>
      </c>
      <c r="D734" s="7" t="s">
        <v>149</v>
      </c>
      <c r="E734" s="7" t="s">
        <v>150</v>
      </c>
      <c r="F734" s="7" t="s">
        <v>88</v>
      </c>
      <c r="G734" s="7" t="s">
        <v>73</v>
      </c>
      <c r="H734" s="7" t="s">
        <v>74</v>
      </c>
      <c r="I734" s="7" t="s">
        <v>75</v>
      </c>
      <c r="J734" s="7" t="n">
        <v>2</v>
      </c>
      <c r="K734" s="8" t="n">
        <v>5219</v>
      </c>
      <c r="L734" s="9" t="n">
        <v>0.2</v>
      </c>
      <c r="M734" s="8" t="n">
        <v>6982.08</v>
      </c>
      <c r="N734" s="8" t="n">
        <f aca="false">J734*K734*(1-L734)</f>
        <v>8350.4</v>
      </c>
      <c r="O734" s="8" t="n">
        <f aca="false">N734-M734</f>
        <v>1368.32</v>
      </c>
      <c r="P734" s="10" t="n">
        <f aca="false">IFERROR(O734/N734,0)</f>
        <v>0.163862808967235</v>
      </c>
      <c r="Q734" s="7" t="str">
        <f aca="false">TEXT(B734,"mmm")</f>
        <v>Jun</v>
      </c>
      <c r="R734" s="7" t="str">
        <f aca="false">TEXT(B734,"yyyy-mm")</f>
        <v>2024-06</v>
      </c>
    </row>
    <row r="735" customFormat="false" ht="15" hidden="false" customHeight="false" outlineLevel="0" collapsed="false">
      <c r="A735" s="7" t="s">
        <v>1376</v>
      </c>
      <c r="B735" s="7" t="s">
        <v>1377</v>
      </c>
      <c r="C735" s="7" t="s">
        <v>259</v>
      </c>
      <c r="D735" s="7" t="s">
        <v>130</v>
      </c>
      <c r="E735" s="7" t="s">
        <v>131</v>
      </c>
      <c r="F735" s="7" t="s">
        <v>72</v>
      </c>
      <c r="G735" s="7" t="s">
        <v>49</v>
      </c>
      <c r="H735" s="7" t="s">
        <v>58</v>
      </c>
      <c r="I735" s="7" t="s">
        <v>75</v>
      </c>
      <c r="J735" s="7" t="n">
        <v>4</v>
      </c>
      <c r="K735" s="8" t="n">
        <v>7899</v>
      </c>
      <c r="L735" s="9" t="n">
        <v>0.25</v>
      </c>
      <c r="M735" s="8" t="n">
        <v>13623.32</v>
      </c>
      <c r="N735" s="8" t="n">
        <f aca="false">J735*K735*(1-L735)</f>
        <v>23697</v>
      </c>
      <c r="O735" s="8" t="n">
        <f aca="false">N735-M735</f>
        <v>10073.68</v>
      </c>
      <c r="P735" s="10" t="n">
        <f aca="false">IFERROR(O735/N735,0)</f>
        <v>0.425103599611765</v>
      </c>
      <c r="Q735" s="7" t="str">
        <f aca="false">TEXT(B735,"mmm")</f>
        <v>Apr</v>
      </c>
      <c r="R735" s="7" t="str">
        <f aca="false">TEXT(B735,"yyyy-mm")</f>
        <v>2024-04</v>
      </c>
    </row>
    <row r="736" customFormat="false" ht="15" hidden="false" customHeight="false" outlineLevel="0" collapsed="false">
      <c r="A736" s="7" t="s">
        <v>1378</v>
      </c>
      <c r="B736" s="7" t="s">
        <v>408</v>
      </c>
      <c r="C736" s="7" t="s">
        <v>835</v>
      </c>
      <c r="D736" s="7" t="s">
        <v>314</v>
      </c>
      <c r="E736" s="7" t="s">
        <v>315</v>
      </c>
      <c r="F736" s="7" t="s">
        <v>64</v>
      </c>
      <c r="G736" s="7" t="s">
        <v>81</v>
      </c>
      <c r="H736" s="7" t="s">
        <v>237</v>
      </c>
      <c r="I736" s="7" t="s">
        <v>75</v>
      </c>
      <c r="J736" s="7" t="n">
        <v>2</v>
      </c>
      <c r="K736" s="8" t="n">
        <v>4059</v>
      </c>
      <c r="L736" s="9" t="n">
        <v>0.25</v>
      </c>
      <c r="M736" s="8" t="n">
        <v>4559.08</v>
      </c>
      <c r="N736" s="8" t="n">
        <f aca="false">J736*K736*(1-L736)</f>
        <v>6088.5</v>
      </c>
      <c r="O736" s="8" t="n">
        <f aca="false">N736-M736</f>
        <v>1529.42</v>
      </c>
      <c r="P736" s="10" t="n">
        <f aca="false">IFERROR(O736/N736,0)</f>
        <v>0.251198160466453</v>
      </c>
      <c r="Q736" s="7" t="str">
        <f aca="false">TEXT(B736,"mmm")</f>
        <v>Jul</v>
      </c>
      <c r="R736" s="7" t="str">
        <f aca="false">TEXT(B736,"yyyy-mm")</f>
        <v>2024-07</v>
      </c>
    </row>
    <row r="737" customFormat="false" ht="15" hidden="false" customHeight="false" outlineLevel="0" collapsed="false">
      <c r="A737" s="7" t="s">
        <v>1379</v>
      </c>
      <c r="B737" s="7" t="s">
        <v>1165</v>
      </c>
      <c r="C737" s="7" t="s">
        <v>767</v>
      </c>
      <c r="D737" s="7" t="s">
        <v>197</v>
      </c>
      <c r="E737" s="7" t="s">
        <v>198</v>
      </c>
      <c r="F737" s="7" t="s">
        <v>64</v>
      </c>
      <c r="G737" s="7" t="s">
        <v>73</v>
      </c>
      <c r="H737" s="7" t="s">
        <v>115</v>
      </c>
      <c r="I737" s="7" t="s">
        <v>51</v>
      </c>
      <c r="J737" s="7" t="n">
        <v>6</v>
      </c>
      <c r="K737" s="8" t="n">
        <v>2910</v>
      </c>
      <c r="L737" s="9" t="n">
        <v>0</v>
      </c>
      <c r="M737" s="8" t="n">
        <v>8040.96</v>
      </c>
      <c r="N737" s="8" t="n">
        <f aca="false">J737*K737*(1-L737)</f>
        <v>17460</v>
      </c>
      <c r="O737" s="8" t="n">
        <f aca="false">N737-M737</f>
        <v>9419.04</v>
      </c>
      <c r="P737" s="10" t="n">
        <f aca="false">IFERROR(O737/N737,0)</f>
        <v>0.539463917525773</v>
      </c>
      <c r="Q737" s="7" t="str">
        <f aca="false">TEXT(B737,"mmm")</f>
        <v>Nov</v>
      </c>
      <c r="R737" s="7" t="str">
        <f aca="false">TEXT(B737,"yyyy-mm")</f>
        <v>2024-11</v>
      </c>
    </row>
    <row r="738" customFormat="false" ht="15" hidden="false" customHeight="false" outlineLevel="0" collapsed="false">
      <c r="A738" s="7" t="s">
        <v>1380</v>
      </c>
      <c r="B738" s="7" t="s">
        <v>193</v>
      </c>
      <c r="C738" s="7" t="s">
        <v>307</v>
      </c>
      <c r="D738" s="7" t="s">
        <v>206</v>
      </c>
      <c r="E738" s="7" t="s">
        <v>207</v>
      </c>
      <c r="F738" s="7" t="s">
        <v>88</v>
      </c>
      <c r="G738" s="7" t="s">
        <v>73</v>
      </c>
      <c r="H738" s="7" t="s">
        <v>266</v>
      </c>
      <c r="I738" s="7" t="s">
        <v>75</v>
      </c>
      <c r="J738" s="7" t="n">
        <v>4</v>
      </c>
      <c r="K738" s="8" t="n">
        <v>1029</v>
      </c>
      <c r="L738" s="9" t="n">
        <v>0</v>
      </c>
      <c r="M738" s="8" t="n">
        <v>2514.48</v>
      </c>
      <c r="N738" s="8" t="n">
        <f aca="false">J738*K738*(1-L738)</f>
        <v>4116</v>
      </c>
      <c r="O738" s="8" t="n">
        <f aca="false">N738-M738</f>
        <v>1601.52</v>
      </c>
      <c r="P738" s="10" t="n">
        <f aca="false">IFERROR(O738/N738,0)</f>
        <v>0.389096209912536</v>
      </c>
      <c r="Q738" s="7" t="str">
        <f aca="false">TEXT(B738,"mmm")</f>
        <v>May</v>
      </c>
      <c r="R738" s="7" t="str">
        <f aca="false">TEXT(B738,"yyyy-mm")</f>
        <v>2024-05</v>
      </c>
    </row>
    <row r="739" customFormat="false" ht="15" hidden="false" customHeight="false" outlineLevel="0" collapsed="false">
      <c r="A739" s="7" t="s">
        <v>1381</v>
      </c>
      <c r="B739" s="7" t="s">
        <v>77</v>
      </c>
      <c r="C739" s="7" t="s">
        <v>349</v>
      </c>
      <c r="D739" s="7" t="s">
        <v>260</v>
      </c>
      <c r="E739" s="7" t="s">
        <v>261</v>
      </c>
      <c r="F739" s="7" t="s">
        <v>72</v>
      </c>
      <c r="G739" s="7" t="s">
        <v>65</v>
      </c>
      <c r="H739" s="7" t="s">
        <v>66</v>
      </c>
      <c r="I739" s="7" t="s">
        <v>75</v>
      </c>
      <c r="J739" s="7" t="n">
        <v>13</v>
      </c>
      <c r="K739" s="8" t="n">
        <v>4879</v>
      </c>
      <c r="L739" s="9" t="n">
        <v>0</v>
      </c>
      <c r="M739" s="8" t="n">
        <v>31638.49</v>
      </c>
      <c r="N739" s="8" t="n">
        <f aca="false">J739*K739*(1-L739)</f>
        <v>63427</v>
      </c>
      <c r="O739" s="8" t="n">
        <f aca="false">N739-M739</f>
        <v>31788.51</v>
      </c>
      <c r="P739" s="10" t="n">
        <f aca="false">IFERROR(O739/N739,0)</f>
        <v>0.501182619389219</v>
      </c>
      <c r="Q739" s="7" t="str">
        <f aca="false">TEXT(B739,"mmm")</f>
        <v>Nov</v>
      </c>
      <c r="R739" s="7" t="str">
        <f aca="false">TEXT(B739,"yyyy-mm")</f>
        <v>2024-11</v>
      </c>
    </row>
    <row r="740" customFormat="false" ht="15" hidden="false" customHeight="false" outlineLevel="0" collapsed="false">
      <c r="A740" s="7" t="s">
        <v>1382</v>
      </c>
      <c r="B740" s="7" t="s">
        <v>887</v>
      </c>
      <c r="C740" s="7" t="s">
        <v>1106</v>
      </c>
      <c r="D740" s="7" t="s">
        <v>176</v>
      </c>
      <c r="E740" s="7" t="s">
        <v>177</v>
      </c>
      <c r="F740" s="7" t="s">
        <v>72</v>
      </c>
      <c r="G740" s="7" t="s">
        <v>49</v>
      </c>
      <c r="H740" s="7" t="s">
        <v>58</v>
      </c>
      <c r="I740" s="7" t="s">
        <v>51</v>
      </c>
      <c r="J740" s="7" t="n">
        <v>7</v>
      </c>
      <c r="K740" s="8" t="n">
        <v>3969</v>
      </c>
      <c r="L740" s="9" t="n">
        <v>0</v>
      </c>
      <c r="M740" s="8" t="n">
        <v>15035.79</v>
      </c>
      <c r="N740" s="8" t="n">
        <f aca="false">J740*K740*(1-L740)</f>
        <v>27783</v>
      </c>
      <c r="O740" s="8" t="n">
        <f aca="false">N740-M740</f>
        <v>12747.21</v>
      </c>
      <c r="P740" s="10" t="n">
        <f aca="false">IFERROR(O740/N740,0)</f>
        <v>0.458813303099017</v>
      </c>
      <c r="Q740" s="7" t="str">
        <f aca="false">TEXT(B740,"mmm")</f>
        <v>Apr</v>
      </c>
      <c r="R740" s="7" t="str">
        <f aca="false">TEXT(B740,"yyyy-mm")</f>
        <v>2024-04</v>
      </c>
    </row>
    <row r="741" customFormat="false" ht="15" hidden="false" customHeight="false" outlineLevel="0" collapsed="false">
      <c r="A741" s="7" t="s">
        <v>1383</v>
      </c>
      <c r="B741" s="7" t="s">
        <v>1168</v>
      </c>
      <c r="C741" s="7" t="s">
        <v>256</v>
      </c>
      <c r="D741" s="7" t="s">
        <v>113</v>
      </c>
      <c r="E741" s="7" t="s">
        <v>114</v>
      </c>
      <c r="F741" s="7" t="s">
        <v>57</v>
      </c>
      <c r="G741" s="7" t="s">
        <v>73</v>
      </c>
      <c r="H741" s="7" t="s">
        <v>74</v>
      </c>
      <c r="I741" s="7" t="s">
        <v>75</v>
      </c>
      <c r="J741" s="7" t="n">
        <v>5</v>
      </c>
      <c r="K741" s="8" t="n">
        <v>3069</v>
      </c>
      <c r="L741" s="9" t="n">
        <v>0.05</v>
      </c>
      <c r="M741" s="8" t="n">
        <v>11460.4</v>
      </c>
      <c r="N741" s="8" t="n">
        <f aca="false">J741*K741*(1-L741)</f>
        <v>14577.75</v>
      </c>
      <c r="O741" s="8" t="n">
        <f aca="false">N741-M741</f>
        <v>3117.35</v>
      </c>
      <c r="P741" s="10" t="n">
        <f aca="false">IFERROR(O741/N741,0)</f>
        <v>0.213843014182573</v>
      </c>
      <c r="Q741" s="7" t="str">
        <f aca="false">TEXT(B741,"mmm")</f>
        <v>Feb</v>
      </c>
      <c r="R741" s="7" t="str">
        <f aca="false">TEXT(B741,"yyyy-mm")</f>
        <v>2024-02</v>
      </c>
    </row>
    <row r="742" customFormat="false" ht="15" hidden="false" customHeight="false" outlineLevel="0" collapsed="false">
      <c r="A742" s="7" t="s">
        <v>1384</v>
      </c>
      <c r="B742" s="7" t="s">
        <v>856</v>
      </c>
      <c r="C742" s="7" t="s">
        <v>535</v>
      </c>
      <c r="D742" s="7" t="s">
        <v>549</v>
      </c>
      <c r="E742" s="7" t="s">
        <v>550</v>
      </c>
      <c r="F742" s="7" t="s">
        <v>48</v>
      </c>
      <c r="G742" s="7" t="s">
        <v>73</v>
      </c>
      <c r="H742" s="7" t="s">
        <v>266</v>
      </c>
      <c r="I742" s="7" t="s">
        <v>75</v>
      </c>
      <c r="J742" s="7" t="n">
        <v>5</v>
      </c>
      <c r="K742" s="8" t="n">
        <v>3419</v>
      </c>
      <c r="L742" s="9" t="n">
        <v>0.15</v>
      </c>
      <c r="M742" s="8" t="n">
        <v>12551.6</v>
      </c>
      <c r="N742" s="8" t="n">
        <f aca="false">J742*K742*(1-L742)</f>
        <v>14530.75</v>
      </c>
      <c r="O742" s="8" t="n">
        <f aca="false">N742-M742</f>
        <v>1979.15</v>
      </c>
      <c r="P742" s="10" t="n">
        <f aca="false">IFERROR(O742/N742,0)</f>
        <v>0.136204256490546</v>
      </c>
      <c r="Q742" s="7" t="str">
        <f aca="false">TEXT(B742,"mmm")</f>
        <v>Apr</v>
      </c>
      <c r="R742" s="7" t="str">
        <f aca="false">TEXT(B742,"yyyy-mm")</f>
        <v>2024-04</v>
      </c>
    </row>
    <row r="743" customFormat="false" ht="15" hidden="false" customHeight="false" outlineLevel="0" collapsed="false">
      <c r="A743" s="7" t="s">
        <v>1385</v>
      </c>
      <c r="B743" s="7" t="s">
        <v>1045</v>
      </c>
      <c r="C743" s="7" t="s">
        <v>196</v>
      </c>
      <c r="D743" s="7" t="s">
        <v>55</v>
      </c>
      <c r="E743" s="7" t="s">
        <v>56</v>
      </c>
      <c r="F743" s="7" t="s">
        <v>57</v>
      </c>
      <c r="G743" s="7" t="s">
        <v>73</v>
      </c>
      <c r="H743" s="7" t="s">
        <v>266</v>
      </c>
      <c r="I743" s="7" t="s">
        <v>51</v>
      </c>
      <c r="J743" s="7" t="n">
        <v>2</v>
      </c>
      <c r="K743" s="8" t="n">
        <v>2850</v>
      </c>
      <c r="L743" s="9" t="n">
        <v>0.2</v>
      </c>
      <c r="M743" s="8" t="n">
        <v>4256.3</v>
      </c>
      <c r="N743" s="8" t="n">
        <f aca="false">J743*K743*(1-L743)</f>
        <v>4560</v>
      </c>
      <c r="O743" s="8" t="n">
        <f aca="false">N743-M743</f>
        <v>303.7</v>
      </c>
      <c r="P743" s="10" t="n">
        <f aca="false">IFERROR(O743/N743,0)</f>
        <v>0.0666008771929824</v>
      </c>
      <c r="Q743" s="7" t="str">
        <f aca="false">TEXT(B743,"mmm")</f>
        <v>May</v>
      </c>
      <c r="R743" s="7" t="str">
        <f aca="false">TEXT(B743,"yyyy-mm")</f>
        <v>2024-05</v>
      </c>
    </row>
    <row r="744" customFormat="false" ht="15" hidden="false" customHeight="false" outlineLevel="0" collapsed="false">
      <c r="A744" s="7" t="s">
        <v>1386</v>
      </c>
      <c r="B744" s="7" t="s">
        <v>776</v>
      </c>
      <c r="C744" s="7" t="s">
        <v>302</v>
      </c>
      <c r="D744" s="7" t="s">
        <v>144</v>
      </c>
      <c r="E744" s="7" t="s">
        <v>145</v>
      </c>
      <c r="F744" s="7" t="s">
        <v>48</v>
      </c>
      <c r="G744" s="7" t="s">
        <v>49</v>
      </c>
      <c r="H744" s="7" t="s">
        <v>172</v>
      </c>
      <c r="I744" s="7" t="s">
        <v>75</v>
      </c>
      <c r="J744" s="7" t="n">
        <v>5</v>
      </c>
      <c r="K744" s="8" t="n">
        <v>5149</v>
      </c>
      <c r="L744" s="9" t="n">
        <v>0.1</v>
      </c>
      <c r="M744" s="8" t="n">
        <v>10862.4</v>
      </c>
      <c r="N744" s="8" t="n">
        <f aca="false">J744*K744*(1-L744)</f>
        <v>23170.5</v>
      </c>
      <c r="O744" s="8" t="n">
        <f aca="false">N744-M744</f>
        <v>12308.1</v>
      </c>
      <c r="P744" s="10" t="n">
        <f aca="false">IFERROR(O744/N744,0)</f>
        <v>0.531196996180488</v>
      </c>
      <c r="Q744" s="7" t="str">
        <f aca="false">TEXT(B744,"mmm")</f>
        <v>Jan</v>
      </c>
      <c r="R744" s="7" t="str">
        <f aca="false">TEXT(B744,"yyyy-mm")</f>
        <v>2024-01</v>
      </c>
    </row>
    <row r="745" customFormat="false" ht="15" hidden="false" customHeight="false" outlineLevel="0" collapsed="false">
      <c r="A745" s="7" t="s">
        <v>1387</v>
      </c>
      <c r="B745" s="7" t="s">
        <v>456</v>
      </c>
      <c r="C745" s="7" t="s">
        <v>205</v>
      </c>
      <c r="D745" s="7" t="s">
        <v>314</v>
      </c>
      <c r="E745" s="7" t="s">
        <v>315</v>
      </c>
      <c r="F745" s="7" t="s">
        <v>64</v>
      </c>
      <c r="G745" s="7" t="s">
        <v>65</v>
      </c>
      <c r="H745" s="7" t="s">
        <v>106</v>
      </c>
      <c r="I745" s="7" t="s">
        <v>51</v>
      </c>
      <c r="J745" s="7" t="n">
        <v>4</v>
      </c>
      <c r="K745" s="8" t="n">
        <v>4059</v>
      </c>
      <c r="L745" s="9" t="n">
        <v>0.15</v>
      </c>
      <c r="M745" s="8" t="n">
        <v>9118.16</v>
      </c>
      <c r="N745" s="8" t="n">
        <f aca="false">J745*K745*(1-L745)</f>
        <v>13800.6</v>
      </c>
      <c r="O745" s="8" t="n">
        <f aca="false">N745-M745</f>
        <v>4682.44</v>
      </c>
      <c r="P745" s="10" t="n">
        <f aca="false">IFERROR(O745/N745,0)</f>
        <v>0.339292494529223</v>
      </c>
      <c r="Q745" s="7" t="str">
        <f aca="false">TEXT(B745,"mmm")</f>
        <v>Mar</v>
      </c>
      <c r="R745" s="7" t="str">
        <f aca="false">TEXT(B745,"yyyy-mm")</f>
        <v>2024-03</v>
      </c>
    </row>
    <row r="746" customFormat="false" ht="15" hidden="false" customHeight="false" outlineLevel="0" collapsed="false">
      <c r="A746" s="7" t="s">
        <v>1388</v>
      </c>
      <c r="B746" s="7" t="s">
        <v>789</v>
      </c>
      <c r="C746" s="7" t="s">
        <v>99</v>
      </c>
      <c r="D746" s="7" t="s">
        <v>113</v>
      </c>
      <c r="E746" s="7" t="s">
        <v>114</v>
      </c>
      <c r="F746" s="7" t="s">
        <v>57</v>
      </c>
      <c r="G746" s="7" t="s">
        <v>49</v>
      </c>
      <c r="H746" s="7" t="s">
        <v>50</v>
      </c>
      <c r="I746" s="7" t="s">
        <v>51</v>
      </c>
      <c r="J746" s="7" t="n">
        <v>5</v>
      </c>
      <c r="K746" s="8" t="n">
        <v>3069</v>
      </c>
      <c r="L746" s="9" t="n">
        <v>0.25</v>
      </c>
      <c r="M746" s="8" t="n">
        <v>11460.4</v>
      </c>
      <c r="N746" s="8" t="n">
        <f aca="false">J746*K746*(1-L746)</f>
        <v>11508.75</v>
      </c>
      <c r="O746" s="8" t="n">
        <f aca="false">N746-M746</f>
        <v>48.3500000000004</v>
      </c>
      <c r="P746" s="10" t="n">
        <f aca="false">IFERROR(O746/N746,0)</f>
        <v>0.00420115129792552</v>
      </c>
      <c r="Q746" s="7" t="str">
        <f aca="false">TEXT(B746,"mmm")</f>
        <v>Oct</v>
      </c>
      <c r="R746" s="7" t="str">
        <f aca="false">TEXT(B746,"yyyy-mm")</f>
        <v>2024-10</v>
      </c>
    </row>
    <row r="747" customFormat="false" ht="15" hidden="false" customHeight="false" outlineLevel="0" collapsed="false">
      <c r="A747" s="7" t="s">
        <v>1389</v>
      </c>
      <c r="B747" s="7" t="s">
        <v>736</v>
      </c>
      <c r="C747" s="7" t="s">
        <v>535</v>
      </c>
      <c r="D747" s="7" t="s">
        <v>314</v>
      </c>
      <c r="E747" s="7" t="s">
        <v>315</v>
      </c>
      <c r="F747" s="7" t="s">
        <v>64</v>
      </c>
      <c r="G747" s="7" t="s">
        <v>81</v>
      </c>
      <c r="H747" s="7" t="s">
        <v>109</v>
      </c>
      <c r="I747" s="7" t="s">
        <v>51</v>
      </c>
      <c r="J747" s="7" t="n">
        <v>5</v>
      </c>
      <c r="K747" s="8" t="n">
        <v>4059</v>
      </c>
      <c r="L747" s="9" t="n">
        <v>0.9</v>
      </c>
      <c r="M747" s="8" t="n">
        <v>11397.7</v>
      </c>
      <c r="N747" s="8" t="n">
        <f aca="false">J747*K747*(1-L747)</f>
        <v>2029.5</v>
      </c>
      <c r="O747" s="8" t="n">
        <f aca="false">N747-M747</f>
        <v>-9368.2</v>
      </c>
      <c r="P747" s="10" t="n">
        <f aca="false">IFERROR(O747/N747,0)</f>
        <v>-4.6160137965016</v>
      </c>
      <c r="Q747" s="7" t="str">
        <f aca="false">TEXT(B747,"mmm")</f>
        <v>Aug</v>
      </c>
      <c r="R747" s="7" t="str">
        <f aca="false">TEXT(B747,"yyyy-mm")</f>
        <v>2024-08</v>
      </c>
    </row>
    <row r="748" customFormat="false" ht="15" hidden="false" customHeight="false" outlineLevel="0" collapsed="false">
      <c r="A748" s="7" t="s">
        <v>1390</v>
      </c>
      <c r="B748" s="7" t="s">
        <v>128</v>
      </c>
      <c r="C748" s="7" t="s">
        <v>294</v>
      </c>
      <c r="D748" s="7" t="s">
        <v>104</v>
      </c>
      <c r="E748" s="7" t="s">
        <v>105</v>
      </c>
      <c r="F748" s="7" t="s">
        <v>48</v>
      </c>
      <c r="G748" s="7" t="s">
        <v>73</v>
      </c>
      <c r="H748" s="7" t="s">
        <v>211</v>
      </c>
      <c r="I748" s="7" t="s">
        <v>51</v>
      </c>
      <c r="J748" s="7" t="n">
        <v>3</v>
      </c>
      <c r="K748" s="8" t="n">
        <v>2000</v>
      </c>
      <c r="L748" s="9" t="n">
        <v>0</v>
      </c>
      <c r="M748" s="8" t="n">
        <v>2613.9</v>
      </c>
      <c r="N748" s="8" t="n">
        <f aca="false">J748*K748*(1-L748)</f>
        <v>6000</v>
      </c>
      <c r="O748" s="8" t="n">
        <f aca="false">N748-M748</f>
        <v>3386.1</v>
      </c>
      <c r="P748" s="10" t="n">
        <f aca="false">IFERROR(O748/N748,0)</f>
        <v>0.56435</v>
      </c>
      <c r="Q748" s="7" t="str">
        <f aca="false">TEXT(B748,"mmm")</f>
        <v>Aug</v>
      </c>
      <c r="R748" s="7" t="str">
        <f aca="false">TEXT(B748,"yyyy-mm")</f>
        <v>2024-08</v>
      </c>
    </row>
    <row r="749" customFormat="false" ht="15" hidden="false" customHeight="false" outlineLevel="0" collapsed="false">
      <c r="A749" s="7" t="s">
        <v>1391</v>
      </c>
      <c r="B749" s="7" t="s">
        <v>1233</v>
      </c>
      <c r="C749" s="7" t="s">
        <v>169</v>
      </c>
      <c r="D749" s="7" t="s">
        <v>149</v>
      </c>
      <c r="E749" s="7" t="s">
        <v>150</v>
      </c>
      <c r="F749" s="7" t="s">
        <v>88</v>
      </c>
      <c r="G749" s="7" t="s">
        <v>81</v>
      </c>
      <c r="H749" s="7" t="s">
        <v>186</v>
      </c>
      <c r="I749" s="7" t="s">
        <v>51</v>
      </c>
      <c r="J749" s="7" t="n">
        <v>1</v>
      </c>
      <c r="K749" s="8" t="n">
        <v>5219</v>
      </c>
      <c r="L749" s="9" t="n">
        <v>0</v>
      </c>
      <c r="M749" s="8" t="n">
        <v>3491.04</v>
      </c>
      <c r="N749" s="8" t="n">
        <f aca="false">J749*K749*(1-L749)</f>
        <v>5219</v>
      </c>
      <c r="O749" s="8" t="n">
        <f aca="false">N749-M749</f>
        <v>1727.96</v>
      </c>
      <c r="P749" s="10" t="n">
        <f aca="false">IFERROR(O749/N749,0)</f>
        <v>0.331090247173788</v>
      </c>
      <c r="Q749" s="7" t="str">
        <f aca="false">TEXT(B749,"mmm")</f>
        <v>Jul</v>
      </c>
      <c r="R749" s="7" t="str">
        <f aca="false">TEXT(B749,"yyyy-mm")</f>
        <v>2024-07</v>
      </c>
    </row>
    <row r="750" customFormat="false" ht="15" hidden="false" customHeight="false" outlineLevel="0" collapsed="false">
      <c r="A750" s="7" t="s">
        <v>1392</v>
      </c>
      <c r="B750" s="7" t="s">
        <v>899</v>
      </c>
      <c r="C750" s="7" t="s">
        <v>440</v>
      </c>
      <c r="D750" s="7" t="s">
        <v>70</v>
      </c>
      <c r="E750" s="7" t="s">
        <v>71</v>
      </c>
      <c r="F750" s="7" t="s">
        <v>72</v>
      </c>
      <c r="G750" s="7" t="s">
        <v>65</v>
      </c>
      <c r="H750" s="7" t="s">
        <v>217</v>
      </c>
      <c r="I750" s="7" t="s">
        <v>51</v>
      </c>
      <c r="J750" s="7" t="n">
        <v>4</v>
      </c>
      <c r="K750" s="8" t="n">
        <v>3059</v>
      </c>
      <c r="L750" s="9" t="n">
        <v>0.25</v>
      </c>
      <c r="M750" s="8" t="n">
        <v>6425.84</v>
      </c>
      <c r="N750" s="8" t="n">
        <f aca="false">J750*K750*(1-L750)</f>
        <v>9177</v>
      </c>
      <c r="O750" s="8" t="n">
        <f aca="false">N750-M750</f>
        <v>2751.16</v>
      </c>
      <c r="P750" s="10" t="n">
        <f aca="false">IFERROR(O750/N750,0)</f>
        <v>0.299788601939632</v>
      </c>
      <c r="Q750" s="7" t="str">
        <f aca="false">TEXT(B750,"mmm")</f>
        <v>Jan</v>
      </c>
      <c r="R750" s="7" t="str">
        <f aca="false">TEXT(B750,"yyyy-mm")</f>
        <v>2024-01</v>
      </c>
    </row>
    <row r="751" customFormat="false" ht="15" hidden="false" customHeight="false" outlineLevel="0" collapsed="false">
      <c r="A751" s="7" t="s">
        <v>1393</v>
      </c>
      <c r="B751" s="7" t="s">
        <v>1394</v>
      </c>
      <c r="C751" s="7" t="s">
        <v>256</v>
      </c>
      <c r="D751" s="7" t="s">
        <v>464</v>
      </c>
      <c r="E751" s="7" t="s">
        <v>465</v>
      </c>
      <c r="F751" s="7" t="s">
        <v>48</v>
      </c>
      <c r="G751" s="7" t="s">
        <v>65</v>
      </c>
      <c r="H751" s="7" t="s">
        <v>126</v>
      </c>
      <c r="I751" s="7" t="s">
        <v>75</v>
      </c>
      <c r="J751" s="7" t="n">
        <v>7</v>
      </c>
      <c r="K751" s="8" t="n">
        <v>799</v>
      </c>
      <c r="L751" s="9" t="n">
        <v>0.25</v>
      </c>
      <c r="M751" s="8" t="n">
        <v>2897.86</v>
      </c>
      <c r="N751" s="8" t="n">
        <f aca="false">J751*K751*(1-L751)</f>
        <v>4194.75</v>
      </c>
      <c r="O751" s="8" t="n">
        <f aca="false">N751-M751</f>
        <v>1296.89</v>
      </c>
      <c r="P751" s="10" t="n">
        <f aca="false">IFERROR(O751/N751,0)</f>
        <v>0.309169795577806</v>
      </c>
      <c r="Q751" s="7" t="str">
        <f aca="false">TEXT(B751,"mmm")</f>
        <v>Sep</v>
      </c>
      <c r="R751" s="7" t="str">
        <f aca="false">TEXT(B751,"yyyy-mm")</f>
        <v>2024-09</v>
      </c>
    </row>
    <row r="752" customFormat="false" ht="15" hidden="false" customHeight="false" outlineLevel="0" collapsed="false">
      <c r="A752" s="7" t="s">
        <v>1395</v>
      </c>
      <c r="B752" s="7" t="s">
        <v>1396</v>
      </c>
      <c r="C752" s="7" t="s">
        <v>578</v>
      </c>
      <c r="D752" s="7" t="s">
        <v>244</v>
      </c>
      <c r="E752" s="7" t="s">
        <v>245</v>
      </c>
      <c r="F752" s="7" t="s">
        <v>88</v>
      </c>
      <c r="G752" s="7" t="s">
        <v>73</v>
      </c>
      <c r="H752" s="7" t="s">
        <v>74</v>
      </c>
      <c r="I752" s="7" t="s">
        <v>75</v>
      </c>
      <c r="J752" s="7" t="n">
        <v>4</v>
      </c>
      <c r="K752" s="8" t="n">
        <v>5319</v>
      </c>
      <c r="L752" s="9" t="n">
        <v>0</v>
      </c>
      <c r="M752" s="8" t="n">
        <v>12343.32</v>
      </c>
      <c r="N752" s="8" t="n">
        <f aca="false">J752*K752*(1-L752)</f>
        <v>21276</v>
      </c>
      <c r="O752" s="8" t="n">
        <f aca="false">N752-M752</f>
        <v>8932.68</v>
      </c>
      <c r="P752" s="10" t="n">
        <f aca="false">IFERROR(O752/N752,0)</f>
        <v>0.419847715736041</v>
      </c>
      <c r="Q752" s="7" t="str">
        <f aca="false">TEXT(B752,"mmm")</f>
        <v>May</v>
      </c>
      <c r="R752" s="7" t="str">
        <f aca="false">TEXT(B752,"yyyy-mm")</f>
        <v>2024-05</v>
      </c>
    </row>
    <row r="753" customFormat="false" ht="15" hidden="false" customHeight="false" outlineLevel="0" collapsed="false">
      <c r="A753" s="7" t="s">
        <v>1397</v>
      </c>
      <c r="B753" s="7" t="s">
        <v>1398</v>
      </c>
      <c r="C753" s="7" t="s">
        <v>1106</v>
      </c>
      <c r="D753" s="7" t="s">
        <v>464</v>
      </c>
      <c r="E753" s="7" t="s">
        <v>465</v>
      </c>
      <c r="F753" s="7" t="s">
        <v>48</v>
      </c>
      <c r="G753" s="7" t="s">
        <v>81</v>
      </c>
      <c r="H753" s="7" t="s">
        <v>237</v>
      </c>
      <c r="I753" s="7" t="s">
        <v>51</v>
      </c>
      <c r="J753" s="7" t="n">
        <v>5</v>
      </c>
      <c r="K753" s="8" t="n">
        <v>799</v>
      </c>
      <c r="L753" s="9" t="n">
        <v>0</v>
      </c>
      <c r="M753" s="8" t="n">
        <v>2069.9</v>
      </c>
      <c r="N753" s="8" t="n">
        <f aca="false">J753*K753*(1-L753)</f>
        <v>3995</v>
      </c>
      <c r="O753" s="8" t="n">
        <f aca="false">N753-M753</f>
        <v>1925.1</v>
      </c>
      <c r="P753" s="10" t="n">
        <f aca="false">IFERROR(O753/N753,0)</f>
        <v>0.481877346683354</v>
      </c>
      <c r="Q753" s="7" t="str">
        <f aca="false">TEXT(B753,"mmm")</f>
        <v>Dec</v>
      </c>
      <c r="R753" s="7" t="str">
        <f aca="false">TEXT(B753,"yyyy-mm")</f>
        <v>2024-12</v>
      </c>
    </row>
    <row r="754" customFormat="false" ht="15" hidden="false" customHeight="false" outlineLevel="0" collapsed="false">
      <c r="A754" s="7" t="s">
        <v>1399</v>
      </c>
      <c r="B754" s="7" t="s">
        <v>1082</v>
      </c>
      <c r="C754" s="7" t="s">
        <v>744</v>
      </c>
      <c r="D754" s="7" t="s">
        <v>464</v>
      </c>
      <c r="E754" s="7" t="s">
        <v>465</v>
      </c>
      <c r="F754" s="7" t="s">
        <v>48</v>
      </c>
      <c r="G754" s="7" t="s">
        <v>81</v>
      </c>
      <c r="H754" s="7" t="s">
        <v>186</v>
      </c>
      <c r="I754" s="7" t="s">
        <v>51</v>
      </c>
      <c r="J754" s="7" t="n">
        <v>2</v>
      </c>
      <c r="K754" s="8" t="n">
        <v>799</v>
      </c>
      <c r="L754" s="9" t="n">
        <v>0.1</v>
      </c>
      <c r="M754" s="8" t="n">
        <v>827.96</v>
      </c>
      <c r="N754" s="8" t="n">
        <f aca="false">J754*K754*(1-L754)</f>
        <v>1438.2</v>
      </c>
      <c r="O754" s="8" t="n">
        <f aca="false">N754-M754</f>
        <v>610.24</v>
      </c>
      <c r="P754" s="10" t="n">
        <f aca="false">IFERROR(O754/N754,0)</f>
        <v>0.424308162981505</v>
      </c>
      <c r="Q754" s="7" t="str">
        <f aca="false">TEXT(B754,"mmm")</f>
        <v>Dec</v>
      </c>
      <c r="R754" s="7" t="str">
        <f aca="false">TEXT(B754,"yyyy-mm")</f>
        <v>2024-12</v>
      </c>
    </row>
    <row r="755" customFormat="false" ht="15" hidden="false" customHeight="false" outlineLevel="0" collapsed="false">
      <c r="A755" s="7" t="s">
        <v>1400</v>
      </c>
      <c r="B755" s="7" t="s">
        <v>912</v>
      </c>
      <c r="C755" s="7" t="s">
        <v>699</v>
      </c>
      <c r="D755" s="7" t="s">
        <v>260</v>
      </c>
      <c r="E755" s="7" t="s">
        <v>261</v>
      </c>
      <c r="F755" s="7" t="s">
        <v>72</v>
      </c>
      <c r="G755" s="7" t="s">
        <v>65</v>
      </c>
      <c r="H755" s="7" t="s">
        <v>106</v>
      </c>
      <c r="I755" s="7" t="s">
        <v>51</v>
      </c>
      <c r="J755" s="7" t="n">
        <v>4</v>
      </c>
      <c r="K755" s="8" t="n">
        <v>4879</v>
      </c>
      <c r="L755" s="9" t="n">
        <v>0.25</v>
      </c>
      <c r="M755" s="8" t="n">
        <v>9734.92</v>
      </c>
      <c r="N755" s="8" t="n">
        <f aca="false">J755*K755*(1-L755)</f>
        <v>14637</v>
      </c>
      <c r="O755" s="8" t="n">
        <f aca="false">N755-M755</f>
        <v>4902.08</v>
      </c>
      <c r="P755" s="10" t="n">
        <f aca="false">IFERROR(O755/N755,0)</f>
        <v>0.334910159185625</v>
      </c>
      <c r="Q755" s="7" t="str">
        <f aca="false">TEXT(B755,"mmm")</f>
        <v>Jan</v>
      </c>
      <c r="R755" s="7" t="str">
        <f aca="false">TEXT(B755,"yyyy-mm")</f>
        <v>2024-01</v>
      </c>
    </row>
    <row r="756" customFormat="false" ht="15" hidden="false" customHeight="false" outlineLevel="0" collapsed="false">
      <c r="A756" s="7" t="s">
        <v>1401</v>
      </c>
      <c r="B756" s="7" t="s">
        <v>1146</v>
      </c>
      <c r="C756" s="7" t="s">
        <v>1098</v>
      </c>
      <c r="D756" s="7" t="s">
        <v>149</v>
      </c>
      <c r="E756" s="7" t="s">
        <v>150</v>
      </c>
      <c r="F756" s="7" t="s">
        <v>88</v>
      </c>
      <c r="G756" s="7" t="s">
        <v>49</v>
      </c>
      <c r="H756" s="7" t="s">
        <v>50</v>
      </c>
      <c r="I756" s="7" t="s">
        <v>51</v>
      </c>
      <c r="J756" s="7" t="n">
        <v>4</v>
      </c>
      <c r="K756" s="8" t="n">
        <v>5219</v>
      </c>
      <c r="L756" s="9" t="n">
        <v>0.25</v>
      </c>
      <c r="M756" s="8" t="n">
        <v>13964.16</v>
      </c>
      <c r="N756" s="8" t="n">
        <f aca="false">J756*K756*(1-L756)</f>
        <v>15657</v>
      </c>
      <c r="O756" s="8" t="n">
        <f aca="false">N756-M756</f>
        <v>1692.84</v>
      </c>
      <c r="P756" s="10" t="n">
        <f aca="false">IFERROR(O756/N756,0)</f>
        <v>0.108120329565051</v>
      </c>
      <c r="Q756" s="7" t="str">
        <f aca="false">TEXT(B756,"mmm")</f>
        <v>Dec</v>
      </c>
      <c r="R756" s="7" t="str">
        <f aca="false">TEXT(B756,"yyyy-mm")</f>
        <v>2024-12</v>
      </c>
    </row>
    <row r="757" customFormat="false" ht="15" hidden="false" customHeight="false" outlineLevel="0" collapsed="false">
      <c r="A757" s="7" t="s">
        <v>1402</v>
      </c>
      <c r="B757" s="7" t="s">
        <v>152</v>
      </c>
      <c r="C757" s="7" t="s">
        <v>1403</v>
      </c>
      <c r="D757" s="7" t="s">
        <v>170</v>
      </c>
      <c r="E757" s="7" t="s">
        <v>171</v>
      </c>
      <c r="F757" s="7" t="s">
        <v>88</v>
      </c>
      <c r="G757" s="7" t="s">
        <v>73</v>
      </c>
      <c r="H757" s="7" t="s">
        <v>266</v>
      </c>
      <c r="I757" s="7" t="s">
        <v>51</v>
      </c>
      <c r="J757" s="7" t="n">
        <v>6</v>
      </c>
      <c r="K757" s="8" t="n">
        <v>5749</v>
      </c>
      <c r="L757" s="9" t="n">
        <v>0.05</v>
      </c>
      <c r="M757" s="8" t="n">
        <v>18946.26</v>
      </c>
      <c r="N757" s="8" t="n">
        <f aca="false">J757*K757*(1-L757)</f>
        <v>32769.3</v>
      </c>
      <c r="O757" s="8" t="n">
        <f aca="false">N757-M757</f>
        <v>13823.04</v>
      </c>
      <c r="P757" s="10" t="n">
        <f aca="false">IFERROR(O757/N757,0)</f>
        <v>0.421828967966969</v>
      </c>
      <c r="Q757" s="7" t="str">
        <f aca="false">TEXT(B757,"mmm")</f>
        <v>Dec</v>
      </c>
      <c r="R757" s="7" t="str">
        <f aca="false">TEXT(B757,"yyyy-mm")</f>
        <v>2024-12</v>
      </c>
    </row>
    <row r="758" customFormat="false" ht="15" hidden="false" customHeight="false" outlineLevel="0" collapsed="false">
      <c r="A758" s="7" t="s">
        <v>1404</v>
      </c>
      <c r="B758" s="7" t="s">
        <v>698</v>
      </c>
      <c r="C758" s="7" t="s">
        <v>353</v>
      </c>
      <c r="D758" s="7" t="s">
        <v>46</v>
      </c>
      <c r="E758" s="7" t="s">
        <v>47</v>
      </c>
      <c r="F758" s="7" t="s">
        <v>48</v>
      </c>
      <c r="G758" s="7" t="s">
        <v>73</v>
      </c>
      <c r="H758" s="7" t="s">
        <v>115</v>
      </c>
      <c r="I758" s="7" t="s">
        <v>51</v>
      </c>
      <c r="J758" s="7" t="n">
        <v>6</v>
      </c>
      <c r="K758" s="8" t="n">
        <v>4349</v>
      </c>
      <c r="L758" s="9" t="n">
        <v>0.05</v>
      </c>
      <c r="M758" s="8" t="n">
        <v>14932.62</v>
      </c>
      <c r="N758" s="8" t="n">
        <f aca="false">J758*K758*(1-L758)</f>
        <v>24789.3</v>
      </c>
      <c r="O758" s="8" t="n">
        <f aca="false">N758-M758</f>
        <v>9856.68</v>
      </c>
      <c r="P758" s="10" t="n">
        <f aca="false">IFERROR(O758/N758,0)</f>
        <v>0.397618327262166</v>
      </c>
      <c r="Q758" s="7" t="str">
        <f aca="false">TEXT(B758,"mmm")</f>
        <v>Nov</v>
      </c>
      <c r="R758" s="7" t="str">
        <f aca="false">TEXT(B758,"yyyy-mm")</f>
        <v>2024-11</v>
      </c>
    </row>
    <row r="759" customFormat="false" ht="15" hidden="false" customHeight="false" outlineLevel="0" collapsed="false">
      <c r="A759" s="7" t="s">
        <v>1405</v>
      </c>
      <c r="B759" s="7" t="s">
        <v>1406</v>
      </c>
      <c r="C759" s="7" t="s">
        <v>670</v>
      </c>
      <c r="D759" s="7" t="s">
        <v>459</v>
      </c>
      <c r="E759" s="7" t="s">
        <v>460</v>
      </c>
      <c r="F759" s="7" t="s">
        <v>64</v>
      </c>
      <c r="G759" s="7" t="s">
        <v>49</v>
      </c>
      <c r="H759" s="7" t="s">
        <v>50</v>
      </c>
      <c r="I759" s="7" t="s">
        <v>51</v>
      </c>
      <c r="J759" s="7" t="n">
        <v>2</v>
      </c>
      <c r="K759" s="8" t="n">
        <v>1520</v>
      </c>
      <c r="L759" s="9" t="n">
        <v>0.2</v>
      </c>
      <c r="M759" s="8" t="n">
        <v>1771.42</v>
      </c>
      <c r="N759" s="8" t="n">
        <f aca="false">J759*K759*(1-L759)</f>
        <v>2432</v>
      </c>
      <c r="O759" s="8" t="n">
        <f aca="false">N759-M759</f>
        <v>660.58</v>
      </c>
      <c r="P759" s="10" t="n">
        <f aca="false">IFERROR(O759/N759,0)</f>
        <v>0.271620065789474</v>
      </c>
      <c r="Q759" s="7" t="str">
        <f aca="false">TEXT(B759,"mmm")</f>
        <v>Jul</v>
      </c>
      <c r="R759" s="7" t="str">
        <f aca="false">TEXT(B759,"yyyy-mm")</f>
        <v>2024-07</v>
      </c>
    </row>
    <row r="760" customFormat="false" ht="15" hidden="false" customHeight="false" outlineLevel="0" collapsed="false">
      <c r="A760" s="7" t="s">
        <v>1407</v>
      </c>
      <c r="B760" s="7" t="s">
        <v>1163</v>
      </c>
      <c r="C760" s="7" t="s">
        <v>603</v>
      </c>
      <c r="D760" s="7" t="s">
        <v>140</v>
      </c>
      <c r="E760" s="7" t="s">
        <v>141</v>
      </c>
      <c r="F760" s="7" t="s">
        <v>57</v>
      </c>
      <c r="G760" s="7" t="s">
        <v>73</v>
      </c>
      <c r="H760" s="7" t="s">
        <v>211</v>
      </c>
      <c r="I760" s="7" t="s">
        <v>51</v>
      </c>
      <c r="J760" s="7" t="n">
        <v>3</v>
      </c>
      <c r="K760" s="8" t="n">
        <v>1440</v>
      </c>
      <c r="L760" s="9" t="n">
        <v>0</v>
      </c>
      <c r="M760" s="8" t="n">
        <v>2911.17</v>
      </c>
      <c r="N760" s="8" t="n">
        <f aca="false">J760*K760*(1-L760)</f>
        <v>4320</v>
      </c>
      <c r="O760" s="8" t="n">
        <f aca="false">N760-M760</f>
        <v>1408.83</v>
      </c>
      <c r="P760" s="10" t="n">
        <f aca="false">IFERROR(O760/N760,0)</f>
        <v>0.326118055555556</v>
      </c>
      <c r="Q760" s="7" t="str">
        <f aca="false">TEXT(B760,"mmm")</f>
        <v>Feb</v>
      </c>
      <c r="R760" s="7" t="str">
        <f aca="false">TEXT(B760,"yyyy-mm")</f>
        <v>2024-02</v>
      </c>
    </row>
    <row r="761" customFormat="false" ht="15" hidden="false" customHeight="false" outlineLevel="0" collapsed="false">
      <c r="A761" s="7" t="s">
        <v>1408</v>
      </c>
      <c r="B761" s="7" t="s">
        <v>1126</v>
      </c>
      <c r="C761" s="7" t="s">
        <v>895</v>
      </c>
      <c r="D761" s="7" t="s">
        <v>46</v>
      </c>
      <c r="E761" s="7" t="s">
        <v>47</v>
      </c>
      <c r="F761" s="7" t="s">
        <v>48</v>
      </c>
      <c r="G761" s="7" t="s">
        <v>81</v>
      </c>
      <c r="H761" s="7" t="s">
        <v>109</v>
      </c>
      <c r="I761" s="7" t="s">
        <v>75</v>
      </c>
      <c r="J761" s="7" t="n">
        <v>5</v>
      </c>
      <c r="K761" s="8" t="n">
        <v>4349</v>
      </c>
      <c r="L761" s="9" t="n">
        <v>0.2</v>
      </c>
      <c r="M761" s="8" t="n">
        <v>12443.85</v>
      </c>
      <c r="N761" s="8" t="n">
        <f aca="false">J761*K761*(1-L761)</f>
        <v>17396</v>
      </c>
      <c r="O761" s="8" t="n">
        <f aca="false">N761-M761</f>
        <v>4952.15</v>
      </c>
      <c r="P761" s="10" t="n">
        <f aca="false">IFERROR(O761/N761,0)</f>
        <v>0.284671763623822</v>
      </c>
      <c r="Q761" s="7" t="str">
        <f aca="false">TEXT(B761,"mmm")</f>
        <v>Mar</v>
      </c>
      <c r="R761" s="7" t="str">
        <f aca="false">TEXT(B761,"yyyy-mm")</f>
        <v>2024-03</v>
      </c>
    </row>
    <row r="762" customFormat="false" ht="15" hidden="false" customHeight="false" outlineLevel="0" collapsed="false">
      <c r="A762" s="7" t="s">
        <v>1409</v>
      </c>
      <c r="B762" s="7" t="s">
        <v>128</v>
      </c>
      <c r="C762" s="7" t="s">
        <v>364</v>
      </c>
      <c r="D762" s="7" t="s">
        <v>343</v>
      </c>
      <c r="E762" s="7" t="s">
        <v>344</v>
      </c>
      <c r="F762" s="7" t="s">
        <v>88</v>
      </c>
      <c r="G762" s="7" t="s">
        <v>49</v>
      </c>
      <c r="H762" s="7" t="s">
        <v>100</v>
      </c>
      <c r="I762" s="7" t="s">
        <v>75</v>
      </c>
      <c r="J762" s="7" t="n">
        <v>3</v>
      </c>
      <c r="K762" s="8" t="n">
        <v>2169</v>
      </c>
      <c r="L762" s="9" t="n">
        <v>0.05</v>
      </c>
      <c r="M762" s="8" t="n">
        <v>4481.7</v>
      </c>
      <c r="N762" s="8" t="n">
        <f aca="false">J762*K762*(1-L762)</f>
        <v>6181.65</v>
      </c>
      <c r="O762" s="8" t="n">
        <f aca="false">N762-M762</f>
        <v>1699.95</v>
      </c>
      <c r="P762" s="10" t="n">
        <f aca="false">IFERROR(O762/N762,0)</f>
        <v>0.274999393365849</v>
      </c>
      <c r="Q762" s="7" t="str">
        <f aca="false">TEXT(B762,"mmm")</f>
        <v>Aug</v>
      </c>
      <c r="R762" s="7" t="str">
        <f aca="false">TEXT(B762,"yyyy-mm")</f>
        <v>2024-08</v>
      </c>
    </row>
    <row r="763" customFormat="false" ht="15" hidden="false" customHeight="false" outlineLevel="0" collapsed="false">
      <c r="A763" s="7" t="s">
        <v>1410</v>
      </c>
      <c r="B763" s="7" t="s">
        <v>138</v>
      </c>
      <c r="C763" s="7" t="s">
        <v>139</v>
      </c>
      <c r="D763" s="7" t="s">
        <v>149</v>
      </c>
      <c r="E763" s="7" t="s">
        <v>150</v>
      </c>
      <c r="F763" s="7" t="s">
        <v>88</v>
      </c>
      <c r="G763" s="7" t="s">
        <v>81</v>
      </c>
      <c r="H763" s="7" t="s">
        <v>237</v>
      </c>
      <c r="I763" s="7" t="s">
        <v>75</v>
      </c>
      <c r="J763" s="7" t="n">
        <v>4</v>
      </c>
      <c r="K763" s="8" t="n">
        <v>5219</v>
      </c>
      <c r="L763" s="9" t="n">
        <v>0.15</v>
      </c>
      <c r="M763" s="8" t="n">
        <v>13964.16</v>
      </c>
      <c r="N763" s="8" t="n">
        <f aca="false">J763*K763*(1-L763)</f>
        <v>17744.6</v>
      </c>
      <c r="O763" s="8" t="n">
        <f aca="false">N763-M763</f>
        <v>3780.44</v>
      </c>
      <c r="P763" s="10" t="n">
        <f aca="false">IFERROR(O763/N763,0)</f>
        <v>0.213047349616221</v>
      </c>
      <c r="Q763" s="7" t="str">
        <f aca="false">TEXT(B763,"mmm")</f>
        <v>Jan</v>
      </c>
      <c r="R763" s="7" t="str">
        <f aca="false">TEXT(B763,"yyyy-mm")</f>
        <v>2024-01</v>
      </c>
    </row>
    <row r="764" customFormat="false" ht="15" hidden="false" customHeight="false" outlineLevel="0" collapsed="false">
      <c r="A764" s="7" t="s">
        <v>1411</v>
      </c>
      <c r="B764" s="7" t="s">
        <v>909</v>
      </c>
      <c r="C764" s="7" t="s">
        <v>1203</v>
      </c>
      <c r="D764" s="7" t="s">
        <v>459</v>
      </c>
      <c r="E764" s="7" t="s">
        <v>460</v>
      </c>
      <c r="F764" s="7" t="s">
        <v>64</v>
      </c>
      <c r="G764" s="7" t="s">
        <v>73</v>
      </c>
      <c r="H764" s="7" t="s">
        <v>266</v>
      </c>
      <c r="I764" s="7" t="s">
        <v>51</v>
      </c>
      <c r="J764" s="7" t="n">
        <v>7</v>
      </c>
      <c r="K764" s="8" t="n">
        <v>1520</v>
      </c>
      <c r="L764" s="9" t="n">
        <v>0.15</v>
      </c>
      <c r="M764" s="8" t="n">
        <v>6199.97</v>
      </c>
      <c r="N764" s="8" t="n">
        <f aca="false">J764*K764*(1-L764)</f>
        <v>9044</v>
      </c>
      <c r="O764" s="8" t="n">
        <f aca="false">N764-M764</f>
        <v>2844.03</v>
      </c>
      <c r="P764" s="10" t="n">
        <f aca="false">IFERROR(O764/N764,0)</f>
        <v>0.314465944272446</v>
      </c>
      <c r="Q764" s="7" t="str">
        <f aca="false">TEXT(B764,"mmm")</f>
        <v>Feb</v>
      </c>
      <c r="R764" s="7" t="str">
        <f aca="false">TEXT(B764,"yyyy-mm")</f>
        <v>2024-02</v>
      </c>
    </row>
    <row r="765" customFormat="false" ht="15" hidden="false" customHeight="false" outlineLevel="0" collapsed="false">
      <c r="A765" s="7" t="s">
        <v>1412</v>
      </c>
      <c r="B765" s="7" t="s">
        <v>638</v>
      </c>
      <c r="C765" s="7" t="s">
        <v>226</v>
      </c>
      <c r="D765" s="7" t="s">
        <v>227</v>
      </c>
      <c r="E765" s="7" t="s">
        <v>228</v>
      </c>
      <c r="F765" s="7" t="s">
        <v>64</v>
      </c>
      <c r="G765" s="7" t="s">
        <v>73</v>
      </c>
      <c r="H765" s="7" t="s">
        <v>266</v>
      </c>
      <c r="I765" s="7" t="s">
        <v>75</v>
      </c>
      <c r="J765" s="7" t="n">
        <v>4</v>
      </c>
      <c r="K765" s="8" t="n">
        <v>5529</v>
      </c>
      <c r="L765" s="9" t="n">
        <v>0</v>
      </c>
      <c r="M765" s="8" t="n">
        <v>12210.88</v>
      </c>
      <c r="N765" s="8" t="n">
        <f aca="false">J765*K765*(1-L765)</f>
        <v>22116</v>
      </c>
      <c r="O765" s="8" t="n">
        <f aca="false">N765-M765</f>
        <v>9905.12</v>
      </c>
      <c r="P765" s="10" t="n">
        <f aca="false">IFERROR(O765/N765,0)</f>
        <v>0.447871224452885</v>
      </c>
      <c r="Q765" s="7" t="str">
        <f aca="false">TEXT(B765,"mmm")</f>
        <v>Jul</v>
      </c>
      <c r="R765" s="7" t="str">
        <f aca="false">TEXT(B765,"yyyy-mm")</f>
        <v>2024-07</v>
      </c>
    </row>
    <row r="766" customFormat="false" ht="15" hidden="false" customHeight="false" outlineLevel="0" collapsed="false">
      <c r="A766" s="7" t="s">
        <v>1413</v>
      </c>
      <c r="B766" s="7" t="s">
        <v>1305</v>
      </c>
      <c r="C766" s="7" t="s">
        <v>85</v>
      </c>
      <c r="D766" s="7" t="s">
        <v>181</v>
      </c>
      <c r="E766" s="7" t="s">
        <v>182</v>
      </c>
      <c r="F766" s="7" t="s">
        <v>88</v>
      </c>
      <c r="G766" s="7" t="s">
        <v>73</v>
      </c>
      <c r="H766" s="7" t="s">
        <v>115</v>
      </c>
      <c r="I766" s="7" t="s">
        <v>51</v>
      </c>
      <c r="J766" s="7" t="n">
        <v>6</v>
      </c>
      <c r="K766" s="8" t="n">
        <v>4489</v>
      </c>
      <c r="L766" s="9" t="n">
        <v>0.25</v>
      </c>
      <c r="M766" s="8" t="n">
        <v>11733.42</v>
      </c>
      <c r="N766" s="8" t="n">
        <f aca="false">J766*K766*(1-L766)</f>
        <v>20200.5</v>
      </c>
      <c r="O766" s="8" t="n">
        <f aca="false">N766-M766</f>
        <v>8467.08</v>
      </c>
      <c r="P766" s="10" t="n">
        <f aca="false">IFERROR(O766/N766,0)</f>
        <v>0.419152001188089</v>
      </c>
      <c r="Q766" s="7" t="str">
        <f aca="false">TEXT(B766,"mmm")</f>
        <v>Apr</v>
      </c>
      <c r="R766" s="7" t="str">
        <f aca="false">TEXT(B766,"yyyy-mm")</f>
        <v>2024-04</v>
      </c>
    </row>
    <row r="767" customFormat="false" ht="15" hidden="false" customHeight="false" outlineLevel="0" collapsed="false">
      <c r="A767" s="7" t="s">
        <v>1414</v>
      </c>
      <c r="B767" s="7" t="s">
        <v>937</v>
      </c>
      <c r="C767" s="7" t="s">
        <v>364</v>
      </c>
      <c r="D767" s="7" t="s">
        <v>86</v>
      </c>
      <c r="E767" s="7" t="s">
        <v>87</v>
      </c>
      <c r="F767" s="7" t="s">
        <v>88</v>
      </c>
      <c r="G767" s="7" t="s">
        <v>73</v>
      </c>
      <c r="H767" s="7" t="s">
        <v>211</v>
      </c>
      <c r="I767" s="7" t="s">
        <v>51</v>
      </c>
      <c r="J767" s="7" t="n">
        <v>1</v>
      </c>
      <c r="K767" s="8" t="n">
        <v>3719</v>
      </c>
      <c r="L767" s="9" t="n">
        <v>0.1</v>
      </c>
      <c r="M767" s="8" t="n">
        <v>1475.37</v>
      </c>
      <c r="N767" s="8" t="n">
        <f aca="false">J767*K767*(1-L767)</f>
        <v>3347.1</v>
      </c>
      <c r="O767" s="8" t="n">
        <f aca="false">N767-M767</f>
        <v>1871.73</v>
      </c>
      <c r="P767" s="10" t="n">
        <f aca="false">IFERROR(O767/N767,0)</f>
        <v>0.559209464909922</v>
      </c>
      <c r="Q767" s="7" t="str">
        <f aca="false">TEXT(B767,"mmm")</f>
        <v>May</v>
      </c>
      <c r="R767" s="7" t="str">
        <f aca="false">TEXT(B767,"yyyy-mm")</f>
        <v>2024-05</v>
      </c>
    </row>
    <row r="768" customFormat="false" ht="15" hidden="false" customHeight="false" outlineLevel="0" collapsed="false">
      <c r="A768" s="7" t="s">
        <v>1415</v>
      </c>
      <c r="B768" s="7" t="s">
        <v>1075</v>
      </c>
      <c r="C768" s="7" t="s">
        <v>129</v>
      </c>
      <c r="D768" s="7" t="s">
        <v>62</v>
      </c>
      <c r="E768" s="7" t="s">
        <v>63</v>
      </c>
      <c r="F768" s="7" t="s">
        <v>64</v>
      </c>
      <c r="G768" s="7" t="s">
        <v>73</v>
      </c>
      <c r="H768" s="7" t="s">
        <v>266</v>
      </c>
      <c r="I768" s="7" t="s">
        <v>51</v>
      </c>
      <c r="J768" s="7" t="n">
        <v>2</v>
      </c>
      <c r="K768" s="8" t="n">
        <v>7079</v>
      </c>
      <c r="L768" s="9" t="n">
        <v>0</v>
      </c>
      <c r="M768" s="8" t="n">
        <v>5479.56</v>
      </c>
      <c r="N768" s="8" t="n">
        <f aca="false">J768*K768*(1-L768)</f>
        <v>14158</v>
      </c>
      <c r="O768" s="8" t="n">
        <f aca="false">N768-M768</f>
        <v>8678.44</v>
      </c>
      <c r="P768" s="10" t="n">
        <f aca="false">IFERROR(O768/N768,0)</f>
        <v>0.612970758581721</v>
      </c>
      <c r="Q768" s="7" t="str">
        <f aca="false">TEXT(B768,"mmm")</f>
        <v>Feb</v>
      </c>
      <c r="R768" s="7" t="str">
        <f aca="false">TEXT(B768,"yyyy-mm")</f>
        <v>2024-02</v>
      </c>
    </row>
    <row r="769" customFormat="false" ht="15" hidden="false" customHeight="false" outlineLevel="0" collapsed="false">
      <c r="A769" s="7" t="s">
        <v>1416</v>
      </c>
      <c r="B769" s="7" t="s">
        <v>818</v>
      </c>
      <c r="C769" s="7" t="s">
        <v>158</v>
      </c>
      <c r="D769" s="7" t="s">
        <v>124</v>
      </c>
      <c r="E769" s="7" t="s">
        <v>125</v>
      </c>
      <c r="F769" s="7" t="s">
        <v>64</v>
      </c>
      <c r="G769" s="7" t="s">
        <v>49</v>
      </c>
      <c r="H769" s="7" t="s">
        <v>50</v>
      </c>
      <c r="I769" s="7" t="s">
        <v>51</v>
      </c>
      <c r="J769" s="7" t="n">
        <v>1</v>
      </c>
      <c r="K769" s="8" t="n">
        <v>1349</v>
      </c>
      <c r="L769" s="9" t="n">
        <v>0</v>
      </c>
      <c r="M769" s="8" t="n">
        <v>697.4</v>
      </c>
      <c r="N769" s="8" t="n">
        <f aca="false">J769*K769*(1-L769)</f>
        <v>1349</v>
      </c>
      <c r="O769" s="8" t="n">
        <f aca="false">N769-M769</f>
        <v>651.6</v>
      </c>
      <c r="P769" s="10" t="n">
        <f aca="false">IFERROR(O769/N769,0)</f>
        <v>0.483024462564863</v>
      </c>
      <c r="Q769" s="7" t="str">
        <f aca="false">TEXT(B769,"mmm")</f>
        <v>Jul</v>
      </c>
      <c r="R769" s="7" t="str">
        <f aca="false">TEXT(B769,"yyyy-mm")</f>
        <v>2024-07</v>
      </c>
    </row>
    <row r="770" customFormat="false" ht="15" hidden="false" customHeight="false" outlineLevel="0" collapsed="false">
      <c r="A770" s="7" t="s">
        <v>1417</v>
      </c>
      <c r="B770" s="7" t="s">
        <v>1152</v>
      </c>
      <c r="C770" s="7" t="s">
        <v>265</v>
      </c>
      <c r="D770" s="7" t="s">
        <v>140</v>
      </c>
      <c r="E770" s="7" t="s">
        <v>141</v>
      </c>
      <c r="F770" s="7" t="s">
        <v>57</v>
      </c>
      <c r="G770" s="7" t="s">
        <v>73</v>
      </c>
      <c r="H770" s="7" t="s">
        <v>115</v>
      </c>
      <c r="I770" s="7" t="s">
        <v>51</v>
      </c>
      <c r="J770" s="7" t="n">
        <v>8</v>
      </c>
      <c r="K770" s="8" t="n">
        <v>1440</v>
      </c>
      <c r="L770" s="9" t="n">
        <v>0</v>
      </c>
      <c r="M770" s="8" t="n">
        <v>7763.12</v>
      </c>
      <c r="N770" s="8" t="n">
        <f aca="false">J770*K770*(1-L770)</f>
        <v>11520</v>
      </c>
      <c r="O770" s="8" t="n">
        <f aca="false">N770-M770</f>
        <v>3756.88</v>
      </c>
      <c r="P770" s="10" t="n">
        <f aca="false">IFERROR(O770/N770,0)</f>
        <v>0.326118055555556</v>
      </c>
      <c r="Q770" s="7" t="str">
        <f aca="false">TEXT(B770,"mmm")</f>
        <v>Feb</v>
      </c>
      <c r="R770" s="7" t="str">
        <f aca="false">TEXT(B770,"yyyy-mm")</f>
        <v>2024-02</v>
      </c>
    </row>
    <row r="771" customFormat="false" ht="15" hidden="false" customHeight="false" outlineLevel="0" collapsed="false">
      <c r="A771" s="7" t="s">
        <v>1418</v>
      </c>
      <c r="B771" s="7" t="s">
        <v>401</v>
      </c>
      <c r="C771" s="7" t="s">
        <v>299</v>
      </c>
      <c r="D771" s="7" t="s">
        <v>124</v>
      </c>
      <c r="E771" s="7" t="s">
        <v>125</v>
      </c>
      <c r="F771" s="7" t="s">
        <v>64</v>
      </c>
      <c r="G771" s="7" t="s">
        <v>81</v>
      </c>
      <c r="H771" s="7" t="s">
        <v>109</v>
      </c>
      <c r="I771" s="7" t="s">
        <v>51</v>
      </c>
      <c r="J771" s="7" t="n">
        <v>3</v>
      </c>
      <c r="K771" s="8" t="n">
        <v>1349</v>
      </c>
      <c r="L771" s="9" t="n">
        <v>0</v>
      </c>
      <c r="M771" s="8" t="n">
        <v>2092.2</v>
      </c>
      <c r="N771" s="8" t="n">
        <f aca="false">J771*K771*(1-L771)</f>
        <v>4047</v>
      </c>
      <c r="O771" s="8" t="n">
        <f aca="false">N771-M771</f>
        <v>1954.8</v>
      </c>
      <c r="P771" s="10" t="n">
        <f aca="false">IFERROR(O771/N771,0)</f>
        <v>0.483024462564863</v>
      </c>
      <c r="Q771" s="7" t="str">
        <f aca="false">TEXT(B771,"mmm")</f>
        <v>Aug</v>
      </c>
      <c r="R771" s="7" t="str">
        <f aca="false">TEXT(B771,"yyyy-mm")</f>
        <v>2024-08</v>
      </c>
    </row>
    <row r="772" customFormat="false" ht="15" hidden="false" customHeight="false" outlineLevel="0" collapsed="false">
      <c r="A772" s="7" t="s">
        <v>1419</v>
      </c>
      <c r="B772" s="7" t="s">
        <v>377</v>
      </c>
      <c r="C772" s="7" t="s">
        <v>320</v>
      </c>
      <c r="D772" s="7" t="s">
        <v>162</v>
      </c>
      <c r="E772" s="7" t="s">
        <v>163</v>
      </c>
      <c r="F772" s="7" t="s">
        <v>57</v>
      </c>
      <c r="G772" s="7" t="s">
        <v>65</v>
      </c>
      <c r="H772" s="7" t="s">
        <v>217</v>
      </c>
      <c r="I772" s="7" t="s">
        <v>75</v>
      </c>
      <c r="J772" s="7" t="n">
        <v>10</v>
      </c>
      <c r="K772" s="8" t="n">
        <v>4629</v>
      </c>
      <c r="L772" s="9" t="n">
        <v>0.05</v>
      </c>
      <c r="M772" s="8" t="n">
        <v>20301.7</v>
      </c>
      <c r="N772" s="8" t="n">
        <f aca="false">J772*K772*(1-L772)</f>
        <v>43975.5</v>
      </c>
      <c r="O772" s="8" t="n">
        <f aca="false">N772-M772</f>
        <v>23673.8</v>
      </c>
      <c r="P772" s="10" t="n">
        <f aca="false">IFERROR(O772/N772,0)</f>
        <v>0.538340666962286</v>
      </c>
      <c r="Q772" s="7" t="str">
        <f aca="false">TEXT(B772,"mmm")</f>
        <v>Nov</v>
      </c>
      <c r="R772" s="7" t="str">
        <f aca="false">TEXT(B772,"yyyy-mm")</f>
        <v>2024-11</v>
      </c>
    </row>
    <row r="773" customFormat="false" ht="15" hidden="false" customHeight="false" outlineLevel="0" collapsed="false">
      <c r="A773" s="7" t="s">
        <v>1420</v>
      </c>
      <c r="B773" s="7" t="s">
        <v>293</v>
      </c>
      <c r="C773" s="7" t="s">
        <v>751</v>
      </c>
      <c r="D773" s="7" t="s">
        <v>162</v>
      </c>
      <c r="E773" s="7" t="s">
        <v>163</v>
      </c>
      <c r="F773" s="7" t="s">
        <v>57</v>
      </c>
      <c r="G773" s="7" t="s">
        <v>73</v>
      </c>
      <c r="H773" s="7" t="s">
        <v>74</v>
      </c>
      <c r="I773" s="7" t="s">
        <v>75</v>
      </c>
      <c r="J773" s="7" t="n">
        <v>5</v>
      </c>
      <c r="K773" s="8" t="n">
        <v>4629</v>
      </c>
      <c r="L773" s="9" t="n">
        <v>0</v>
      </c>
      <c r="M773" s="8" t="n">
        <v>10150.85</v>
      </c>
      <c r="N773" s="8" t="n">
        <f aca="false">J773*K773*(1-L773)</f>
        <v>23145</v>
      </c>
      <c r="O773" s="8" t="n">
        <f aca="false">N773-M773</f>
        <v>12994.15</v>
      </c>
      <c r="P773" s="10" t="n">
        <f aca="false">IFERROR(O773/N773,0)</f>
        <v>0.561423633614172</v>
      </c>
      <c r="Q773" s="7" t="str">
        <f aca="false">TEXT(B773,"mmm")</f>
        <v>Dec</v>
      </c>
      <c r="R773" s="7" t="str">
        <f aca="false">TEXT(B773,"yyyy-mm")</f>
        <v>2024-12</v>
      </c>
    </row>
    <row r="774" customFormat="false" ht="15" hidden="false" customHeight="false" outlineLevel="0" collapsed="false">
      <c r="A774" s="7" t="s">
        <v>1421</v>
      </c>
      <c r="B774" s="7" t="s">
        <v>1368</v>
      </c>
      <c r="C774" s="7" t="s">
        <v>284</v>
      </c>
      <c r="D774" s="7" t="s">
        <v>295</v>
      </c>
      <c r="E774" s="7" t="s">
        <v>296</v>
      </c>
      <c r="F774" s="7" t="s">
        <v>64</v>
      </c>
      <c r="G774" s="7" t="s">
        <v>65</v>
      </c>
      <c r="H774" s="7" t="s">
        <v>217</v>
      </c>
      <c r="I774" s="7" t="s">
        <v>51</v>
      </c>
      <c r="J774" s="7" t="n">
        <v>3</v>
      </c>
      <c r="K774" s="8" t="n">
        <v>1249</v>
      </c>
      <c r="L774" s="9" t="n">
        <v>0</v>
      </c>
      <c r="M774" s="8" t="n">
        <v>2751.93</v>
      </c>
      <c r="N774" s="8" t="n">
        <f aca="false">J774*K774*(1-L774)</f>
        <v>3747</v>
      </c>
      <c r="O774" s="8" t="n">
        <f aca="false">N774-M774</f>
        <v>995.07</v>
      </c>
      <c r="P774" s="10" t="n">
        <f aca="false">IFERROR(O774/N774,0)</f>
        <v>0.265564451561249</v>
      </c>
      <c r="Q774" s="7" t="str">
        <f aca="false">TEXT(B774,"mmm")</f>
        <v>May</v>
      </c>
      <c r="R774" s="7" t="str">
        <f aca="false">TEXT(B774,"yyyy-mm")</f>
        <v>2024-05</v>
      </c>
    </row>
    <row r="775" customFormat="false" ht="15" hidden="false" customHeight="false" outlineLevel="0" collapsed="false">
      <c r="A775" s="7" t="s">
        <v>1422</v>
      </c>
      <c r="B775" s="7" t="s">
        <v>319</v>
      </c>
      <c r="C775" s="7" t="s">
        <v>399</v>
      </c>
      <c r="D775" s="7" t="s">
        <v>149</v>
      </c>
      <c r="E775" s="7" t="s">
        <v>150</v>
      </c>
      <c r="F775" s="7" t="s">
        <v>88</v>
      </c>
      <c r="G775" s="7" t="s">
        <v>49</v>
      </c>
      <c r="H775" s="7" t="s">
        <v>172</v>
      </c>
      <c r="I775" s="7" t="s">
        <v>75</v>
      </c>
      <c r="J775" s="7" t="n">
        <v>4</v>
      </c>
      <c r="K775" s="8" t="n">
        <v>5219</v>
      </c>
      <c r="L775" s="9" t="n">
        <v>0.1</v>
      </c>
      <c r="M775" s="8" t="n">
        <v>13964.16</v>
      </c>
      <c r="N775" s="8" t="n">
        <f aca="false">J775*K775*(1-L775)</f>
        <v>18788.4</v>
      </c>
      <c r="O775" s="8" t="n">
        <f aca="false">N775-M775</f>
        <v>4824.24</v>
      </c>
      <c r="P775" s="10" t="n">
        <f aca="false">IFERROR(O775/N775,0)</f>
        <v>0.256766941304209</v>
      </c>
      <c r="Q775" s="7" t="str">
        <f aca="false">TEXT(B775,"mmm")</f>
        <v>Feb</v>
      </c>
      <c r="R775" s="7" t="str">
        <f aca="false">TEXT(B775,"yyyy-mm")</f>
        <v>2024-02</v>
      </c>
    </row>
    <row r="776" customFormat="false" ht="15" hidden="false" customHeight="false" outlineLevel="0" collapsed="false">
      <c r="A776" s="7" t="s">
        <v>1423</v>
      </c>
      <c r="B776" s="7" t="s">
        <v>77</v>
      </c>
      <c r="C776" s="7" t="s">
        <v>759</v>
      </c>
      <c r="D776" s="7" t="s">
        <v>124</v>
      </c>
      <c r="E776" s="7" t="s">
        <v>125</v>
      </c>
      <c r="F776" s="7" t="s">
        <v>64</v>
      </c>
      <c r="G776" s="7" t="s">
        <v>65</v>
      </c>
      <c r="H776" s="7" t="s">
        <v>217</v>
      </c>
      <c r="I776" s="7" t="s">
        <v>51</v>
      </c>
      <c r="J776" s="7" t="n">
        <v>9</v>
      </c>
      <c r="K776" s="8" t="n">
        <v>1349</v>
      </c>
      <c r="L776" s="9" t="n">
        <v>0</v>
      </c>
      <c r="M776" s="8" t="n">
        <v>6276.6</v>
      </c>
      <c r="N776" s="8" t="n">
        <f aca="false">J776*K776*(1-L776)</f>
        <v>12141</v>
      </c>
      <c r="O776" s="8" t="n">
        <f aca="false">N776-M776</f>
        <v>5864.4</v>
      </c>
      <c r="P776" s="10" t="n">
        <f aca="false">IFERROR(O776/N776,0)</f>
        <v>0.483024462564863</v>
      </c>
      <c r="Q776" s="7" t="str">
        <f aca="false">TEXT(B776,"mmm")</f>
        <v>Nov</v>
      </c>
      <c r="R776" s="7" t="str">
        <f aca="false">TEXT(B776,"yyyy-mm")</f>
        <v>2024-11</v>
      </c>
    </row>
    <row r="777" customFormat="false" ht="15" hidden="false" customHeight="false" outlineLevel="0" collapsed="false">
      <c r="A777" s="7" t="s">
        <v>1424</v>
      </c>
      <c r="B777" s="7" t="s">
        <v>890</v>
      </c>
      <c r="C777" s="7" t="s">
        <v>419</v>
      </c>
      <c r="D777" s="7" t="s">
        <v>326</v>
      </c>
      <c r="E777" s="7" t="s">
        <v>327</v>
      </c>
      <c r="F777" s="7" t="s">
        <v>57</v>
      </c>
      <c r="G777" s="7" t="s">
        <v>49</v>
      </c>
      <c r="H777" s="7" t="s">
        <v>100</v>
      </c>
      <c r="I777" s="7" t="s">
        <v>51</v>
      </c>
      <c r="J777" s="7" t="n">
        <v>2</v>
      </c>
      <c r="K777" s="8" t="n">
        <v>5950</v>
      </c>
      <c r="L777" s="9" t="n">
        <v>0.05</v>
      </c>
      <c r="M777" s="8" t="n">
        <v>4833.88</v>
      </c>
      <c r="N777" s="8" t="n">
        <f aca="false">J777*K777*(1-L777)</f>
        <v>11305</v>
      </c>
      <c r="O777" s="8" t="n">
        <f aca="false">N777-M777</f>
        <v>6471.12</v>
      </c>
      <c r="P777" s="10" t="n">
        <f aca="false">IFERROR(O777/N777,0)</f>
        <v>0.572412206988058</v>
      </c>
      <c r="Q777" s="7" t="str">
        <f aca="false">TEXT(B777,"mmm")</f>
        <v>Apr</v>
      </c>
      <c r="R777" s="7" t="str">
        <f aca="false">TEXT(B777,"yyyy-mm")</f>
        <v>2024-04</v>
      </c>
    </row>
    <row r="778" customFormat="false" ht="15" hidden="false" customHeight="false" outlineLevel="0" collapsed="false">
      <c r="A778" s="7" t="s">
        <v>1425</v>
      </c>
      <c r="B778" s="7" t="s">
        <v>143</v>
      </c>
      <c r="C778" s="7" t="s">
        <v>816</v>
      </c>
      <c r="D778" s="7" t="s">
        <v>86</v>
      </c>
      <c r="E778" s="7" t="s">
        <v>87</v>
      </c>
      <c r="F778" s="7" t="s">
        <v>88</v>
      </c>
      <c r="G778" s="7" t="s">
        <v>336</v>
      </c>
      <c r="H778" s="7" t="s">
        <v>336</v>
      </c>
      <c r="I778" s="7" t="s">
        <v>75</v>
      </c>
      <c r="J778" s="7" t="n">
        <v>2</v>
      </c>
      <c r="K778" s="8" t="n">
        <v>3719</v>
      </c>
      <c r="L778" s="9" t="n">
        <v>0</v>
      </c>
      <c r="M778" s="8" t="n">
        <v>2950.74</v>
      </c>
      <c r="N778" s="8" t="n">
        <f aca="false">J778*K778*(1-L778)</f>
        <v>7438</v>
      </c>
      <c r="O778" s="8" t="n">
        <f aca="false">N778-M778</f>
        <v>4487.26</v>
      </c>
      <c r="P778" s="10" t="n">
        <f aca="false">IFERROR(O778/N778,0)</f>
        <v>0.60328851841893</v>
      </c>
      <c r="Q778" s="7" t="str">
        <f aca="false">TEXT(B778,"mmm")</f>
        <v>Jul</v>
      </c>
      <c r="R778" s="7" t="str">
        <f aca="false">TEXT(B778,"yyyy-mm")</f>
        <v>2024-07</v>
      </c>
    </row>
    <row r="779" customFormat="false" ht="15" hidden="false" customHeight="false" outlineLevel="0" collapsed="false">
      <c r="A779" s="7" t="s">
        <v>1426</v>
      </c>
      <c r="B779" s="7" t="s">
        <v>675</v>
      </c>
      <c r="C779" s="7" t="s">
        <v>589</v>
      </c>
      <c r="D779" s="7" t="s">
        <v>295</v>
      </c>
      <c r="E779" s="7" t="s">
        <v>296</v>
      </c>
      <c r="F779" s="7" t="s">
        <v>64</v>
      </c>
      <c r="G779" s="7" t="s">
        <v>73</v>
      </c>
      <c r="H779" s="7" t="s">
        <v>266</v>
      </c>
      <c r="I779" s="7" t="s">
        <v>51</v>
      </c>
      <c r="J779" s="7" t="n">
        <v>3</v>
      </c>
      <c r="K779" s="8" t="n">
        <v>1249</v>
      </c>
      <c r="L779" s="9" t="n">
        <v>0.2</v>
      </c>
      <c r="M779" s="8" t="n">
        <v>2751.93</v>
      </c>
      <c r="N779" s="8" t="n">
        <f aca="false">J779*K779*(1-L779)</f>
        <v>2997.6</v>
      </c>
      <c r="O779" s="8" t="n">
        <f aca="false">N779-M779</f>
        <v>245.670000000001</v>
      </c>
      <c r="P779" s="10" t="n">
        <f aca="false">IFERROR(O779/N779,0)</f>
        <v>0.0819555644515614</v>
      </c>
      <c r="Q779" s="7" t="str">
        <f aca="false">TEXT(B779,"mmm")</f>
        <v>Mar</v>
      </c>
      <c r="R779" s="7" t="str">
        <f aca="false">TEXT(B779,"yyyy-mm")</f>
        <v>2024-03</v>
      </c>
    </row>
    <row r="780" customFormat="false" ht="15" hidden="false" customHeight="false" outlineLevel="0" collapsed="false">
      <c r="A780" s="7" t="s">
        <v>1427</v>
      </c>
      <c r="B780" s="7" t="s">
        <v>352</v>
      </c>
      <c r="C780" s="7" t="s">
        <v>622</v>
      </c>
      <c r="D780" s="7" t="s">
        <v>130</v>
      </c>
      <c r="E780" s="7" t="s">
        <v>131</v>
      </c>
      <c r="F780" s="7" t="s">
        <v>72</v>
      </c>
      <c r="G780" s="7" t="s">
        <v>81</v>
      </c>
      <c r="H780" s="7" t="s">
        <v>186</v>
      </c>
      <c r="I780" s="7" t="s">
        <v>75</v>
      </c>
      <c r="J780" s="7" t="n">
        <v>5</v>
      </c>
      <c r="K780" s="8" t="n">
        <v>7899</v>
      </c>
      <c r="L780" s="9" t="n">
        <v>0.05</v>
      </c>
      <c r="M780" s="8" t="n">
        <v>17029.15</v>
      </c>
      <c r="N780" s="8" t="n">
        <f aca="false">J780*K780*(1-L780)</f>
        <v>37520.25</v>
      </c>
      <c r="O780" s="8" t="n">
        <f aca="false">N780-M780</f>
        <v>20491.1</v>
      </c>
      <c r="P780" s="10" t="n">
        <f aca="false">IFERROR(O780/N780,0)</f>
        <v>0.54613442074613</v>
      </c>
      <c r="Q780" s="7" t="str">
        <f aca="false">TEXT(B780,"mmm")</f>
        <v>Jan</v>
      </c>
      <c r="R780" s="7" t="str">
        <f aca="false">TEXT(B780,"yyyy-mm")</f>
        <v>2024-01</v>
      </c>
    </row>
    <row r="781" customFormat="false" ht="15" hidden="false" customHeight="false" outlineLevel="0" collapsed="false">
      <c r="A781" s="7" t="s">
        <v>1428</v>
      </c>
      <c r="B781" s="7" t="s">
        <v>168</v>
      </c>
      <c r="C781" s="7" t="s">
        <v>603</v>
      </c>
      <c r="D781" s="7" t="s">
        <v>79</v>
      </c>
      <c r="E781" s="7" t="s">
        <v>80</v>
      </c>
      <c r="F781" s="7" t="s">
        <v>72</v>
      </c>
      <c r="G781" s="7" t="s">
        <v>73</v>
      </c>
      <c r="H781" s="7" t="s">
        <v>266</v>
      </c>
      <c r="I781" s="7" t="s">
        <v>75</v>
      </c>
      <c r="J781" s="7" t="n">
        <v>1</v>
      </c>
      <c r="K781" s="8" t="n">
        <v>4769</v>
      </c>
      <c r="L781" s="9" t="n">
        <v>0.15</v>
      </c>
      <c r="M781" s="8" t="n">
        <v>2724.81</v>
      </c>
      <c r="N781" s="8" t="n">
        <f aca="false">J781*K781*(1-L781)</f>
        <v>4053.65</v>
      </c>
      <c r="O781" s="8" t="n">
        <f aca="false">N781-M781</f>
        <v>1328.84</v>
      </c>
      <c r="P781" s="10" t="n">
        <f aca="false">IFERROR(O781/N781,0)</f>
        <v>0.327813205382803</v>
      </c>
      <c r="Q781" s="7" t="str">
        <f aca="false">TEXT(B781,"mmm")</f>
        <v>Jul</v>
      </c>
      <c r="R781" s="7" t="str">
        <f aca="false">TEXT(B781,"yyyy-mm")</f>
        <v>2024-07</v>
      </c>
    </row>
    <row r="782" customFormat="false" ht="15" hidden="false" customHeight="false" outlineLevel="0" collapsed="false">
      <c r="A782" s="7" t="s">
        <v>1429</v>
      </c>
      <c r="B782" s="7" t="s">
        <v>854</v>
      </c>
      <c r="C782" s="7" t="s">
        <v>437</v>
      </c>
      <c r="D782" s="7" t="s">
        <v>201</v>
      </c>
      <c r="E782" s="7" t="s">
        <v>202</v>
      </c>
      <c r="F782" s="7" t="s">
        <v>72</v>
      </c>
      <c r="G782" s="7" t="s">
        <v>73</v>
      </c>
      <c r="H782" s="7" t="s">
        <v>211</v>
      </c>
      <c r="I782" s="7" t="s">
        <v>51</v>
      </c>
      <c r="J782" s="7" t="n">
        <v>2</v>
      </c>
      <c r="K782" s="8" t="n">
        <v>3990</v>
      </c>
      <c r="L782" s="9" t="n">
        <v>0.15</v>
      </c>
      <c r="M782" s="8" t="n">
        <v>6067.22</v>
      </c>
      <c r="N782" s="8" t="n">
        <f aca="false">J782*K782*(1-L782)</f>
        <v>6783</v>
      </c>
      <c r="O782" s="8" t="n">
        <f aca="false">N782-M782</f>
        <v>715.78</v>
      </c>
      <c r="P782" s="10" t="n">
        <f aca="false">IFERROR(O782/N782,0)</f>
        <v>0.105525578652514</v>
      </c>
      <c r="Q782" s="7" t="str">
        <f aca="false">TEXT(B782,"mmm")</f>
        <v>Aug</v>
      </c>
      <c r="R782" s="7" t="str">
        <f aca="false">TEXT(B782,"yyyy-mm")</f>
        <v>2024-08</v>
      </c>
    </row>
    <row r="783" customFormat="false" ht="15" hidden="false" customHeight="false" outlineLevel="0" collapsed="false">
      <c r="A783" s="7" t="s">
        <v>1430</v>
      </c>
      <c r="B783" s="7" t="s">
        <v>1189</v>
      </c>
      <c r="C783" s="7" t="s">
        <v>816</v>
      </c>
      <c r="D783" s="7" t="s">
        <v>113</v>
      </c>
      <c r="E783" s="7" t="s">
        <v>114</v>
      </c>
      <c r="F783" s="7" t="s">
        <v>57</v>
      </c>
      <c r="G783" s="7" t="s">
        <v>81</v>
      </c>
      <c r="H783" s="7" t="s">
        <v>186</v>
      </c>
      <c r="I783" s="7" t="s">
        <v>75</v>
      </c>
      <c r="J783" s="7" t="n">
        <v>7</v>
      </c>
      <c r="K783" s="8" t="n">
        <v>3069</v>
      </c>
      <c r="L783" s="9" t="n">
        <v>0.1</v>
      </c>
      <c r="M783" s="8" t="n">
        <v>16044.56</v>
      </c>
      <c r="N783" s="8" t="n">
        <f aca="false">J783*K783*(1-L783)</f>
        <v>19334.7</v>
      </c>
      <c r="O783" s="8" t="n">
        <f aca="false">N783-M783</f>
        <v>3290.14</v>
      </c>
      <c r="P783" s="10" t="n">
        <f aca="false">IFERROR(O783/N783,0)</f>
        <v>0.170167626081605</v>
      </c>
      <c r="Q783" s="7" t="str">
        <f aca="false">TEXT(B783,"mmm")</f>
        <v>Sep</v>
      </c>
      <c r="R783" s="7" t="str">
        <f aca="false">TEXT(B783,"yyyy-mm")</f>
        <v>2024-09</v>
      </c>
    </row>
    <row r="784" customFormat="false" ht="15" hidden="false" customHeight="false" outlineLevel="0" collapsed="false">
      <c r="A784" s="7" t="s">
        <v>1431</v>
      </c>
      <c r="B784" s="7" t="s">
        <v>179</v>
      </c>
      <c r="C784" s="7" t="s">
        <v>742</v>
      </c>
      <c r="D784" s="7" t="s">
        <v>162</v>
      </c>
      <c r="E784" s="7" t="s">
        <v>163</v>
      </c>
      <c r="F784" s="7" t="s">
        <v>57</v>
      </c>
      <c r="G784" s="7" t="s">
        <v>65</v>
      </c>
      <c r="H784" s="7" t="s">
        <v>126</v>
      </c>
      <c r="I784" s="7" t="s">
        <v>75</v>
      </c>
      <c r="J784" s="7" t="n">
        <v>4</v>
      </c>
      <c r="K784" s="8" t="n">
        <v>4629</v>
      </c>
      <c r="L784" s="9" t="n">
        <v>0</v>
      </c>
      <c r="M784" s="8" t="n">
        <v>8120.68</v>
      </c>
      <c r="N784" s="8" t="n">
        <f aca="false">J784*K784*(1-L784)</f>
        <v>18516</v>
      </c>
      <c r="O784" s="8" t="n">
        <f aca="false">N784-M784</f>
        <v>10395.32</v>
      </c>
      <c r="P784" s="10" t="n">
        <f aca="false">IFERROR(O784/N784,0)</f>
        <v>0.561423633614172</v>
      </c>
      <c r="Q784" s="7" t="str">
        <f aca="false">TEXT(B784,"mmm")</f>
        <v>Feb</v>
      </c>
      <c r="R784" s="7" t="str">
        <f aca="false">TEXT(B784,"yyyy-mm")</f>
        <v>2024-02</v>
      </c>
    </row>
    <row r="785" customFormat="false" ht="15" hidden="false" customHeight="false" outlineLevel="0" collapsed="false">
      <c r="A785" s="7" t="s">
        <v>1432</v>
      </c>
      <c r="B785" s="7" t="s">
        <v>230</v>
      </c>
      <c r="C785" s="7" t="s">
        <v>191</v>
      </c>
      <c r="D785" s="7" t="s">
        <v>86</v>
      </c>
      <c r="E785" s="7" t="s">
        <v>87</v>
      </c>
      <c r="F785" s="7" t="s">
        <v>88</v>
      </c>
      <c r="G785" s="7" t="s">
        <v>65</v>
      </c>
      <c r="H785" s="7" t="s">
        <v>66</v>
      </c>
      <c r="I785" s="7" t="s">
        <v>75</v>
      </c>
      <c r="J785" s="7" t="n">
        <v>2</v>
      </c>
      <c r="K785" s="8" t="n">
        <v>3719</v>
      </c>
      <c r="L785" s="9" t="n">
        <v>0</v>
      </c>
      <c r="M785" s="8" t="n">
        <v>2950.74</v>
      </c>
      <c r="N785" s="8" t="n">
        <f aca="false">J785*K785*(1-L785)</f>
        <v>7438</v>
      </c>
      <c r="O785" s="8" t="n">
        <f aca="false">N785-M785</f>
        <v>4487.26</v>
      </c>
      <c r="P785" s="10" t="n">
        <f aca="false">IFERROR(O785/N785,0)</f>
        <v>0.60328851841893</v>
      </c>
      <c r="Q785" s="7" t="str">
        <f aca="false">TEXT(B785,"mmm")</f>
        <v>Sep</v>
      </c>
      <c r="R785" s="7" t="str">
        <f aca="false">TEXT(B785,"yyyy-mm")</f>
        <v>2024-09</v>
      </c>
    </row>
    <row r="786" customFormat="false" ht="15" hidden="false" customHeight="false" outlineLevel="0" collapsed="false">
      <c r="A786" s="7" t="s">
        <v>1433</v>
      </c>
      <c r="B786" s="7" t="s">
        <v>1434</v>
      </c>
      <c r="C786" s="7" t="s">
        <v>349</v>
      </c>
      <c r="D786" s="7" t="s">
        <v>249</v>
      </c>
      <c r="E786" s="7" t="s">
        <v>250</v>
      </c>
      <c r="F786" s="7" t="s">
        <v>57</v>
      </c>
      <c r="G786" s="7" t="s">
        <v>65</v>
      </c>
      <c r="H786" s="7" t="s">
        <v>66</v>
      </c>
      <c r="I786" s="7" t="s">
        <v>51</v>
      </c>
      <c r="J786" s="7" t="n">
        <v>4</v>
      </c>
      <c r="K786" s="8" t="n">
        <v>1730</v>
      </c>
      <c r="L786" s="9" t="n">
        <v>0.2</v>
      </c>
      <c r="M786" s="8" t="n">
        <v>3529.76</v>
      </c>
      <c r="N786" s="8" t="n">
        <f aca="false">J786*K786*(1-L786)</f>
        <v>5536</v>
      </c>
      <c r="O786" s="8" t="n">
        <f aca="false">N786-M786</f>
        <v>2006.24</v>
      </c>
      <c r="P786" s="10" t="n">
        <f aca="false">IFERROR(O786/N786,0)</f>
        <v>0.362398843930636</v>
      </c>
      <c r="Q786" s="7" t="str">
        <f aca="false">TEXT(B786,"mmm")</f>
        <v>Mar</v>
      </c>
      <c r="R786" s="7" t="str">
        <f aca="false">TEXT(B786,"yyyy-mm")</f>
        <v>2024-03</v>
      </c>
    </row>
    <row r="787" customFormat="false" ht="15" hidden="false" customHeight="false" outlineLevel="0" collapsed="false">
      <c r="A787" s="7" t="s">
        <v>1435</v>
      </c>
      <c r="B787" s="7" t="s">
        <v>1436</v>
      </c>
      <c r="C787" s="7" t="s">
        <v>1241</v>
      </c>
      <c r="D787" s="7" t="s">
        <v>197</v>
      </c>
      <c r="E787" s="7" t="s">
        <v>198</v>
      </c>
      <c r="F787" s="7" t="s">
        <v>64</v>
      </c>
      <c r="G787" s="7" t="s">
        <v>49</v>
      </c>
      <c r="H787" s="7" t="s">
        <v>50</v>
      </c>
      <c r="I787" s="7" t="s">
        <v>51</v>
      </c>
      <c r="J787" s="7" t="n">
        <v>1</v>
      </c>
      <c r="K787" s="8" t="n">
        <v>2910</v>
      </c>
      <c r="L787" s="9" t="n">
        <v>0.25</v>
      </c>
      <c r="M787" s="8" t="n">
        <v>1340.16</v>
      </c>
      <c r="N787" s="8" t="n">
        <f aca="false">J787*K787*(1-L787)</f>
        <v>2182.5</v>
      </c>
      <c r="O787" s="8" t="n">
        <f aca="false">N787-M787</f>
        <v>842.34</v>
      </c>
      <c r="P787" s="10" t="n">
        <f aca="false">IFERROR(O787/N787,0)</f>
        <v>0.385951890034364</v>
      </c>
      <c r="Q787" s="7" t="str">
        <f aca="false">TEXT(B787,"mmm")</f>
        <v>Jun</v>
      </c>
      <c r="R787" s="7" t="str">
        <f aca="false">TEXT(B787,"yyyy-mm")</f>
        <v>2024-06</v>
      </c>
    </row>
    <row r="788" customFormat="false" ht="15" hidden="false" customHeight="false" outlineLevel="0" collapsed="false">
      <c r="A788" s="7" t="s">
        <v>1437</v>
      </c>
      <c r="B788" s="7" t="s">
        <v>1438</v>
      </c>
      <c r="C788" s="7" t="s">
        <v>359</v>
      </c>
      <c r="D788" s="7" t="s">
        <v>459</v>
      </c>
      <c r="E788" s="7" t="s">
        <v>460</v>
      </c>
      <c r="F788" s="7" t="s">
        <v>64</v>
      </c>
      <c r="G788" s="7" t="s">
        <v>73</v>
      </c>
      <c r="H788" s="7" t="s">
        <v>74</v>
      </c>
      <c r="I788" s="7" t="s">
        <v>51</v>
      </c>
      <c r="J788" s="7" t="n">
        <v>5</v>
      </c>
      <c r="K788" s="8" t="n">
        <v>1520</v>
      </c>
      <c r="L788" s="9" t="n">
        <v>0</v>
      </c>
      <c r="M788" s="8" t="n">
        <v>4428.55</v>
      </c>
      <c r="N788" s="8" t="n">
        <f aca="false">J788*K788*(1-L788)</f>
        <v>7600</v>
      </c>
      <c r="O788" s="8" t="n">
        <f aca="false">N788-M788</f>
        <v>3171.45</v>
      </c>
      <c r="P788" s="10" t="n">
        <f aca="false">IFERROR(O788/N788,0)</f>
        <v>0.417296052631579</v>
      </c>
      <c r="Q788" s="7" t="str">
        <f aca="false">TEXT(B788,"mmm")</f>
        <v>Feb</v>
      </c>
      <c r="R788" s="7" t="str">
        <f aca="false">TEXT(B788,"yyyy-mm")</f>
        <v>2024-02</v>
      </c>
    </row>
    <row r="789" customFormat="false" ht="15" hidden="false" customHeight="false" outlineLevel="0" collapsed="false">
      <c r="A789" s="7" t="s">
        <v>1439</v>
      </c>
      <c r="B789" s="7" t="s">
        <v>517</v>
      </c>
      <c r="C789" s="7" t="s">
        <v>529</v>
      </c>
      <c r="D789" s="7" t="s">
        <v>423</v>
      </c>
      <c r="E789" s="7" t="s">
        <v>424</v>
      </c>
      <c r="F789" s="7" t="s">
        <v>48</v>
      </c>
      <c r="G789" s="7" t="s">
        <v>65</v>
      </c>
      <c r="H789" s="7" t="s">
        <v>66</v>
      </c>
      <c r="I789" s="7" t="s">
        <v>51</v>
      </c>
      <c r="J789" s="7" t="n">
        <v>4</v>
      </c>
      <c r="K789" s="8" t="n">
        <v>5039</v>
      </c>
      <c r="L789" s="9" t="n">
        <v>0.1</v>
      </c>
      <c r="M789" s="8" t="n">
        <v>7785.44</v>
      </c>
      <c r="N789" s="8" t="n">
        <f aca="false">J789*K789*(1-L789)</f>
        <v>18140.4</v>
      </c>
      <c r="O789" s="8" t="n">
        <f aca="false">N789-M789</f>
        <v>10354.96</v>
      </c>
      <c r="P789" s="10" t="n">
        <f aca="false">IFERROR(O789/N789,0)</f>
        <v>0.570823135101762</v>
      </c>
      <c r="Q789" s="7" t="str">
        <f aca="false">TEXT(B789,"mmm")</f>
        <v>Aug</v>
      </c>
      <c r="R789" s="7" t="str">
        <f aca="false">TEXT(B789,"yyyy-mm")</f>
        <v>2024-08</v>
      </c>
    </row>
    <row r="790" customFormat="false" ht="15" hidden="false" customHeight="false" outlineLevel="0" collapsed="false">
      <c r="A790" s="7" t="s">
        <v>1440</v>
      </c>
      <c r="B790" s="7" t="s">
        <v>1135</v>
      </c>
      <c r="C790" s="7" t="s">
        <v>353</v>
      </c>
      <c r="D790" s="7" t="s">
        <v>130</v>
      </c>
      <c r="E790" s="7" t="s">
        <v>131</v>
      </c>
      <c r="F790" s="7" t="s">
        <v>72</v>
      </c>
      <c r="G790" s="7" t="s">
        <v>81</v>
      </c>
      <c r="H790" s="7" t="s">
        <v>82</v>
      </c>
      <c r="I790" s="7" t="s">
        <v>75</v>
      </c>
      <c r="J790" s="7" t="n">
        <v>5</v>
      </c>
      <c r="K790" s="8" t="n">
        <v>7899</v>
      </c>
      <c r="L790" s="9" t="n">
        <v>0</v>
      </c>
      <c r="M790" s="8" t="n">
        <v>17029.15</v>
      </c>
      <c r="N790" s="8" t="n">
        <f aca="false">J790*K790*(1-L790)</f>
        <v>39495</v>
      </c>
      <c r="O790" s="8" t="n">
        <f aca="false">N790-M790</f>
        <v>22465.85</v>
      </c>
      <c r="P790" s="10" t="n">
        <f aca="false">IFERROR(O790/N790,0)</f>
        <v>0.568827699708824</v>
      </c>
      <c r="Q790" s="7" t="str">
        <f aca="false">TEXT(B790,"mmm")</f>
        <v>Jan</v>
      </c>
      <c r="R790" s="7" t="str">
        <f aca="false">TEXT(B790,"yyyy-mm")</f>
        <v>2024-01</v>
      </c>
    </row>
    <row r="791" customFormat="false" ht="15" hidden="false" customHeight="false" outlineLevel="0" collapsed="false">
      <c r="A791" s="7" t="s">
        <v>1441</v>
      </c>
      <c r="B791" s="7" t="s">
        <v>795</v>
      </c>
      <c r="C791" s="7" t="s">
        <v>265</v>
      </c>
      <c r="D791" s="7" t="s">
        <v>423</v>
      </c>
      <c r="E791" s="7" t="s">
        <v>424</v>
      </c>
      <c r="F791" s="7" t="s">
        <v>48</v>
      </c>
      <c r="G791" s="7" t="s">
        <v>81</v>
      </c>
      <c r="H791" s="7" t="s">
        <v>186</v>
      </c>
      <c r="I791" s="7" t="s">
        <v>51</v>
      </c>
      <c r="J791" s="7" t="n">
        <v>3</v>
      </c>
      <c r="K791" s="8" t="n">
        <v>5039</v>
      </c>
      <c r="L791" s="9" t="n">
        <v>0.1</v>
      </c>
      <c r="M791" s="8" t="n">
        <v>5839.08</v>
      </c>
      <c r="N791" s="8" t="n">
        <f aca="false">J791*K791*(1-L791)</f>
        <v>13605.3</v>
      </c>
      <c r="O791" s="8" t="n">
        <f aca="false">N791-M791</f>
        <v>7766.22</v>
      </c>
      <c r="P791" s="10" t="n">
        <f aca="false">IFERROR(O791/N791,0)</f>
        <v>0.570823135101762</v>
      </c>
      <c r="Q791" s="7" t="str">
        <f aca="false">TEXT(B791,"mmm")</f>
        <v>Dec</v>
      </c>
      <c r="R791" s="7" t="str">
        <f aca="false">TEXT(B791,"yyyy-mm")</f>
        <v>2024-12</v>
      </c>
    </row>
    <row r="792" customFormat="false" ht="15" hidden="false" customHeight="false" outlineLevel="0" collapsed="false">
      <c r="A792" s="7" t="s">
        <v>1442</v>
      </c>
      <c r="B792" s="7" t="s">
        <v>755</v>
      </c>
      <c r="C792" s="7" t="s">
        <v>129</v>
      </c>
      <c r="D792" s="7" t="s">
        <v>140</v>
      </c>
      <c r="E792" s="7" t="s">
        <v>141</v>
      </c>
      <c r="F792" s="7" t="s">
        <v>57</v>
      </c>
      <c r="G792" s="7" t="s">
        <v>49</v>
      </c>
      <c r="H792" s="7" t="s">
        <v>172</v>
      </c>
      <c r="I792" s="7" t="s">
        <v>51</v>
      </c>
      <c r="J792" s="7" t="n">
        <v>2</v>
      </c>
      <c r="K792" s="8" t="n">
        <v>1440</v>
      </c>
      <c r="L792" s="9" t="n">
        <v>0.1</v>
      </c>
      <c r="M792" s="8" t="n">
        <v>1940.78</v>
      </c>
      <c r="N792" s="8" t="n">
        <f aca="false">J792*K792*(1-L792)</f>
        <v>2592</v>
      </c>
      <c r="O792" s="8" t="n">
        <f aca="false">N792-M792</f>
        <v>651.22</v>
      </c>
      <c r="P792" s="10" t="n">
        <f aca="false">IFERROR(O792/N792,0)</f>
        <v>0.251242283950617</v>
      </c>
      <c r="Q792" s="7" t="str">
        <f aca="false">TEXT(B792,"mmm")</f>
        <v>Aug</v>
      </c>
      <c r="R792" s="7" t="str">
        <f aca="false">TEXT(B792,"yyyy-mm")</f>
        <v>2024-08</v>
      </c>
    </row>
    <row r="793" customFormat="false" ht="15" hidden="false" customHeight="false" outlineLevel="0" collapsed="false">
      <c r="A793" s="7" t="s">
        <v>1443</v>
      </c>
      <c r="B793" s="7" t="s">
        <v>428</v>
      </c>
      <c r="C793" s="7" t="s">
        <v>281</v>
      </c>
      <c r="D793" s="7" t="s">
        <v>154</v>
      </c>
      <c r="E793" s="7" t="s">
        <v>155</v>
      </c>
      <c r="F793" s="7" t="s">
        <v>57</v>
      </c>
      <c r="G793" s="7" t="s">
        <v>81</v>
      </c>
      <c r="H793" s="7" t="s">
        <v>186</v>
      </c>
      <c r="I793" s="7" t="s">
        <v>75</v>
      </c>
      <c r="J793" s="7" t="n">
        <v>4</v>
      </c>
      <c r="K793" s="8" t="n">
        <v>2949</v>
      </c>
      <c r="L793" s="9" t="n">
        <v>0</v>
      </c>
      <c r="M793" s="8" t="n">
        <v>6221.56</v>
      </c>
      <c r="N793" s="8" t="n">
        <f aca="false">J793*K793*(1-L793)</f>
        <v>11796</v>
      </c>
      <c r="O793" s="8" t="n">
        <f aca="false">N793-M793</f>
        <v>5574.44</v>
      </c>
      <c r="P793" s="10" t="n">
        <f aca="false">IFERROR(O793/N793,0)</f>
        <v>0.472570362834859</v>
      </c>
      <c r="Q793" s="7" t="str">
        <f aca="false">TEXT(B793,"mmm")</f>
        <v>Jun</v>
      </c>
      <c r="R793" s="7" t="str">
        <f aca="false">TEXT(B793,"yyyy-mm")</f>
        <v>2024-06</v>
      </c>
    </row>
    <row r="794" customFormat="false" ht="15" hidden="false" customHeight="false" outlineLevel="0" collapsed="false">
      <c r="A794" s="7" t="s">
        <v>1444</v>
      </c>
      <c r="B794" s="7" t="s">
        <v>978</v>
      </c>
      <c r="C794" s="7" t="s">
        <v>512</v>
      </c>
      <c r="D794" s="7" t="s">
        <v>549</v>
      </c>
      <c r="E794" s="7" t="s">
        <v>550</v>
      </c>
      <c r="F794" s="7" t="s">
        <v>48</v>
      </c>
      <c r="G794" s="7" t="s">
        <v>81</v>
      </c>
      <c r="H794" s="7" t="s">
        <v>82</v>
      </c>
      <c r="I794" s="7" t="s">
        <v>51</v>
      </c>
      <c r="J794" s="7" t="n">
        <v>3</v>
      </c>
      <c r="K794" s="8" t="n">
        <v>3419</v>
      </c>
      <c r="L794" s="9" t="n">
        <v>0</v>
      </c>
      <c r="M794" s="8" t="n">
        <v>7530.96</v>
      </c>
      <c r="N794" s="8" t="n">
        <f aca="false">J794*K794*(1-L794)</f>
        <v>10257</v>
      </c>
      <c r="O794" s="8" t="n">
        <f aca="false">N794-M794</f>
        <v>2726.04</v>
      </c>
      <c r="P794" s="10" t="n">
        <f aca="false">IFERROR(O794/N794,0)</f>
        <v>0.265773618016964</v>
      </c>
      <c r="Q794" s="7" t="str">
        <f aca="false">TEXT(B794,"mmm")</f>
        <v>Dec</v>
      </c>
      <c r="R794" s="7" t="str">
        <f aca="false">TEXT(B794,"yyyy-mm")</f>
        <v>2024-12</v>
      </c>
    </row>
    <row r="795" customFormat="false" ht="15" hidden="false" customHeight="false" outlineLevel="0" collapsed="false">
      <c r="A795" s="7" t="s">
        <v>1445</v>
      </c>
      <c r="B795" s="7" t="s">
        <v>1446</v>
      </c>
      <c r="C795" s="7" t="s">
        <v>728</v>
      </c>
      <c r="D795" s="7" t="s">
        <v>197</v>
      </c>
      <c r="E795" s="7" t="s">
        <v>198</v>
      </c>
      <c r="F795" s="7" t="s">
        <v>64</v>
      </c>
      <c r="G795" s="7" t="s">
        <v>81</v>
      </c>
      <c r="H795" s="7" t="s">
        <v>186</v>
      </c>
      <c r="I795" s="7" t="s">
        <v>51</v>
      </c>
      <c r="J795" s="7" t="n">
        <v>5</v>
      </c>
      <c r="K795" s="8" t="n">
        <v>2910</v>
      </c>
      <c r="L795" s="9" t="n">
        <v>0.1</v>
      </c>
      <c r="M795" s="8" t="n">
        <v>6700.8</v>
      </c>
      <c r="N795" s="8" t="n">
        <f aca="false">J795*K795*(1-L795)</f>
        <v>13095</v>
      </c>
      <c r="O795" s="8" t="n">
        <f aca="false">N795-M795</f>
        <v>6394.2</v>
      </c>
      <c r="P795" s="10" t="n">
        <f aca="false">IFERROR(O795/N795,0)</f>
        <v>0.488293241695304</v>
      </c>
      <c r="Q795" s="7" t="str">
        <f aca="false">TEXT(B795,"mmm")</f>
        <v>Sep</v>
      </c>
      <c r="R795" s="7" t="str">
        <f aca="false">TEXT(B795,"yyyy-mm")</f>
        <v>2024-09</v>
      </c>
    </row>
    <row r="796" customFormat="false" ht="15" hidden="false" customHeight="false" outlineLevel="0" collapsed="false">
      <c r="A796" s="7" t="s">
        <v>1447</v>
      </c>
      <c r="B796" s="7" t="s">
        <v>1321</v>
      </c>
      <c r="C796" s="7" t="s">
        <v>226</v>
      </c>
      <c r="D796" s="7" t="s">
        <v>154</v>
      </c>
      <c r="E796" s="7" t="s">
        <v>155</v>
      </c>
      <c r="F796" s="7" t="s">
        <v>57</v>
      </c>
      <c r="G796" s="7" t="s">
        <v>49</v>
      </c>
      <c r="H796" s="7" t="s">
        <v>50</v>
      </c>
      <c r="I796" s="7" t="s">
        <v>51</v>
      </c>
      <c r="J796" s="7" t="n">
        <v>4</v>
      </c>
      <c r="K796" s="8" t="n">
        <v>2949</v>
      </c>
      <c r="L796" s="9" t="n">
        <v>0.15</v>
      </c>
      <c r="M796" s="8" t="n">
        <v>6221.56</v>
      </c>
      <c r="N796" s="8" t="n">
        <f aca="false">J796*K796*(1-L796)</f>
        <v>10026.6</v>
      </c>
      <c r="O796" s="8" t="n">
        <f aca="false">N796-M796</f>
        <v>3805.04</v>
      </c>
      <c r="P796" s="10" t="n">
        <f aca="false">IFERROR(O796/N796,0)</f>
        <v>0.379494544511599</v>
      </c>
      <c r="Q796" s="7" t="str">
        <f aca="false">TEXT(B796,"mmm")</f>
        <v>Aug</v>
      </c>
      <c r="R796" s="7" t="str">
        <f aca="false">TEXT(B796,"yyyy-mm")</f>
        <v>2024-08</v>
      </c>
    </row>
    <row r="797" customFormat="false" ht="15" hidden="false" customHeight="false" outlineLevel="0" collapsed="false">
      <c r="A797" s="7" t="s">
        <v>1448</v>
      </c>
      <c r="B797" s="7" t="s">
        <v>528</v>
      </c>
      <c r="C797" s="7" t="s">
        <v>240</v>
      </c>
      <c r="D797" s="7" t="s">
        <v>154</v>
      </c>
      <c r="E797" s="7" t="s">
        <v>155</v>
      </c>
      <c r="F797" s="7" t="s">
        <v>57</v>
      </c>
      <c r="G797" s="7" t="s">
        <v>73</v>
      </c>
      <c r="H797" s="7" t="s">
        <v>115</v>
      </c>
      <c r="I797" s="7" t="s">
        <v>75</v>
      </c>
      <c r="J797" s="7" t="n">
        <v>9</v>
      </c>
      <c r="K797" s="8" t="n">
        <v>2949</v>
      </c>
      <c r="L797" s="9" t="n">
        <v>0.1</v>
      </c>
      <c r="M797" s="8" t="n">
        <v>13998.51</v>
      </c>
      <c r="N797" s="8" t="n">
        <f aca="false">J797*K797*(1-L797)</f>
        <v>23886.9</v>
      </c>
      <c r="O797" s="8" t="n">
        <f aca="false">N797-M797</f>
        <v>9888.39</v>
      </c>
      <c r="P797" s="10" t="n">
        <f aca="false">IFERROR(O797/N797,0)</f>
        <v>0.41396706981651</v>
      </c>
      <c r="Q797" s="7" t="str">
        <f aca="false">TEXT(B797,"mmm")</f>
        <v>Aug</v>
      </c>
      <c r="R797" s="7" t="str">
        <f aca="false">TEXT(B797,"yyyy-mm")</f>
        <v>2024-08</v>
      </c>
    </row>
    <row r="798" customFormat="false" ht="15" hidden="false" customHeight="false" outlineLevel="0" collapsed="false">
      <c r="A798" s="7" t="s">
        <v>1449</v>
      </c>
      <c r="B798" s="7" t="s">
        <v>1303</v>
      </c>
      <c r="C798" s="7" t="s">
        <v>935</v>
      </c>
      <c r="D798" s="7" t="s">
        <v>55</v>
      </c>
      <c r="E798" s="7" t="s">
        <v>56</v>
      </c>
      <c r="F798" s="7" t="s">
        <v>57</v>
      </c>
      <c r="G798" s="7" t="s">
        <v>81</v>
      </c>
      <c r="H798" s="7" t="s">
        <v>109</v>
      </c>
      <c r="I798" s="7" t="s">
        <v>75</v>
      </c>
      <c r="J798" s="7" t="n">
        <v>6</v>
      </c>
      <c r="K798" s="8" t="n">
        <v>2850</v>
      </c>
      <c r="L798" s="9" t="n">
        <v>0.1</v>
      </c>
      <c r="M798" s="8" t="n">
        <v>12768.9</v>
      </c>
      <c r="N798" s="8" t="n">
        <f aca="false">J798*K798*(1-L798)</f>
        <v>15390</v>
      </c>
      <c r="O798" s="8" t="n">
        <f aca="false">N798-M798</f>
        <v>2621.1</v>
      </c>
      <c r="P798" s="10" t="n">
        <f aca="false">IFERROR(O798/N798,0)</f>
        <v>0.170311890838207</v>
      </c>
      <c r="Q798" s="7" t="str">
        <f aca="false">TEXT(B798,"mmm")</f>
        <v>Jan</v>
      </c>
      <c r="R798" s="7" t="str">
        <f aca="false">TEXT(B798,"yyyy-mm")</f>
        <v>2024-01</v>
      </c>
    </row>
    <row r="799" customFormat="false" ht="15" hidden="false" customHeight="false" outlineLevel="0" collapsed="false">
      <c r="A799" s="7" t="s">
        <v>1450</v>
      </c>
      <c r="B799" s="7" t="s">
        <v>628</v>
      </c>
      <c r="C799" s="7" t="s">
        <v>392</v>
      </c>
      <c r="D799" s="7" t="s">
        <v>70</v>
      </c>
      <c r="E799" s="7" t="s">
        <v>71</v>
      </c>
      <c r="F799" s="7" t="s">
        <v>72</v>
      </c>
      <c r="G799" s="7" t="s">
        <v>81</v>
      </c>
      <c r="H799" s="7" t="s">
        <v>82</v>
      </c>
      <c r="I799" s="7" t="s">
        <v>51</v>
      </c>
      <c r="J799" s="7" t="n">
        <v>3</v>
      </c>
      <c r="K799" s="8" t="n">
        <v>3059</v>
      </c>
      <c r="L799" s="9" t="n">
        <v>0.25</v>
      </c>
      <c r="M799" s="8" t="n">
        <v>4819.38</v>
      </c>
      <c r="N799" s="8" t="n">
        <f aca="false">J799*K799*(1-L799)</f>
        <v>6882.75</v>
      </c>
      <c r="O799" s="8" t="n">
        <f aca="false">N799-M799</f>
        <v>2063.37</v>
      </c>
      <c r="P799" s="10" t="n">
        <f aca="false">IFERROR(O799/N799,0)</f>
        <v>0.299788601939632</v>
      </c>
      <c r="Q799" s="7" t="str">
        <f aca="false">TEXT(B799,"mmm")</f>
        <v>Apr</v>
      </c>
      <c r="R799" s="7" t="str">
        <f aca="false">TEXT(B799,"yyyy-mm")</f>
        <v>2024-04</v>
      </c>
    </row>
    <row r="800" customFormat="false" ht="15" hidden="false" customHeight="false" outlineLevel="0" collapsed="false">
      <c r="A800" s="7" t="s">
        <v>1451</v>
      </c>
      <c r="B800" s="7" t="s">
        <v>415</v>
      </c>
      <c r="C800" s="7" t="s">
        <v>139</v>
      </c>
      <c r="D800" s="7" t="s">
        <v>295</v>
      </c>
      <c r="E800" s="7" t="s">
        <v>296</v>
      </c>
      <c r="F800" s="7" t="s">
        <v>64</v>
      </c>
      <c r="G800" s="7" t="s">
        <v>49</v>
      </c>
      <c r="H800" s="7" t="s">
        <v>100</v>
      </c>
      <c r="I800" s="7" t="s">
        <v>51</v>
      </c>
      <c r="J800" s="7" t="n">
        <v>6</v>
      </c>
      <c r="K800" s="8" t="n">
        <v>1249</v>
      </c>
      <c r="L800" s="9" t="n">
        <v>0.25</v>
      </c>
      <c r="M800" s="8" t="n">
        <v>5503.86</v>
      </c>
      <c r="N800" s="8" t="n">
        <f aca="false">J800*K800*(1-L800)</f>
        <v>5620.5</v>
      </c>
      <c r="O800" s="8" t="n">
        <f aca="false">N800-M800</f>
        <v>116.64</v>
      </c>
      <c r="P800" s="10" t="n">
        <f aca="false">IFERROR(O800/N800,0)</f>
        <v>0.0207526020816654</v>
      </c>
      <c r="Q800" s="7" t="str">
        <f aca="false">TEXT(B800,"mmm")</f>
        <v>Mar</v>
      </c>
      <c r="R800" s="7" t="str">
        <f aca="false">TEXT(B800,"yyyy-mm")</f>
        <v>2024-03</v>
      </c>
    </row>
    <row r="801" customFormat="false" ht="15" hidden="false" customHeight="false" outlineLevel="0" collapsed="false">
      <c r="A801" s="7" t="s">
        <v>1452</v>
      </c>
      <c r="B801" s="7" t="s">
        <v>410</v>
      </c>
      <c r="C801" s="7" t="s">
        <v>702</v>
      </c>
      <c r="D801" s="7" t="s">
        <v>135</v>
      </c>
      <c r="E801" s="7" t="s">
        <v>136</v>
      </c>
      <c r="F801" s="7" t="s">
        <v>72</v>
      </c>
      <c r="G801" s="7" t="s">
        <v>81</v>
      </c>
      <c r="H801" s="7" t="s">
        <v>82</v>
      </c>
      <c r="I801" s="7" t="s">
        <v>51</v>
      </c>
      <c r="J801" s="7" t="n">
        <v>1</v>
      </c>
      <c r="K801" s="8" t="n">
        <v>7029</v>
      </c>
      <c r="L801" s="9" t="n">
        <v>0</v>
      </c>
      <c r="M801" s="8" t="n">
        <v>3487.01</v>
      </c>
      <c r="N801" s="8" t="n">
        <f aca="false">J801*K801*(1-L801)</f>
        <v>7029</v>
      </c>
      <c r="O801" s="8" t="n">
        <f aca="false">N801-M801</f>
        <v>3541.99</v>
      </c>
      <c r="P801" s="10" t="n">
        <f aca="false">IFERROR(O801/N801,0)</f>
        <v>0.503910940389814</v>
      </c>
      <c r="Q801" s="7" t="str">
        <f aca="false">TEXT(B801,"mmm")</f>
        <v>Dec</v>
      </c>
      <c r="R801" s="7" t="str">
        <f aca="false">TEXT(B801,"yyyy-mm")</f>
        <v>2024-12</v>
      </c>
    </row>
    <row r="802" customFormat="false" ht="15" hidden="false" customHeight="false" outlineLevel="0" collapsed="false">
      <c r="A802" s="7" t="s">
        <v>1453</v>
      </c>
      <c r="B802" s="7" t="s">
        <v>1250</v>
      </c>
      <c r="C802" s="7" t="s">
        <v>747</v>
      </c>
      <c r="D802" s="7" t="s">
        <v>79</v>
      </c>
      <c r="E802" s="7" t="s">
        <v>80</v>
      </c>
      <c r="F802" s="7" t="s">
        <v>72</v>
      </c>
      <c r="G802" s="7" t="s">
        <v>73</v>
      </c>
      <c r="H802" s="7" t="s">
        <v>115</v>
      </c>
      <c r="I802" s="7" t="s">
        <v>51</v>
      </c>
      <c r="J802" s="7" t="n">
        <v>6</v>
      </c>
      <c r="K802" s="8" t="n">
        <v>4769</v>
      </c>
      <c r="L802" s="9" t="n">
        <v>0</v>
      </c>
      <c r="M802" s="8" t="n">
        <v>16348.86</v>
      </c>
      <c r="N802" s="8" t="n">
        <f aca="false">J802*K802*(1-L802)</f>
        <v>28614</v>
      </c>
      <c r="O802" s="8" t="n">
        <f aca="false">N802-M802</f>
        <v>12265.14</v>
      </c>
      <c r="P802" s="10" t="n">
        <f aca="false">IFERROR(O802/N802,0)</f>
        <v>0.428641224575383</v>
      </c>
      <c r="Q802" s="7" t="str">
        <f aca="false">TEXT(B802,"mmm")</f>
        <v>Aug</v>
      </c>
      <c r="R802" s="7" t="str">
        <f aca="false">TEXT(B802,"yyyy-mm")</f>
        <v>2024-08</v>
      </c>
    </row>
    <row r="803" customFormat="false" ht="15" hidden="false" customHeight="false" outlineLevel="0" collapsed="false">
      <c r="A803" s="7" t="s">
        <v>1454</v>
      </c>
      <c r="B803" s="7" t="s">
        <v>1250</v>
      </c>
      <c r="C803" s="7" t="s">
        <v>920</v>
      </c>
      <c r="D803" s="7" t="s">
        <v>70</v>
      </c>
      <c r="E803" s="7" t="s">
        <v>71</v>
      </c>
      <c r="F803" s="7" t="s">
        <v>72</v>
      </c>
      <c r="G803" s="7" t="s">
        <v>49</v>
      </c>
      <c r="H803" s="7" t="s">
        <v>58</v>
      </c>
      <c r="I803" s="7" t="s">
        <v>75</v>
      </c>
      <c r="J803" s="7" t="n">
        <v>4</v>
      </c>
      <c r="K803" s="8" t="n">
        <v>3059</v>
      </c>
      <c r="L803" s="9" t="n">
        <v>0.25</v>
      </c>
      <c r="M803" s="8" t="n">
        <v>6425.84</v>
      </c>
      <c r="N803" s="8" t="n">
        <f aca="false">J803*K803*(1-L803)</f>
        <v>9177</v>
      </c>
      <c r="O803" s="8" t="n">
        <f aca="false">N803-M803</f>
        <v>2751.16</v>
      </c>
      <c r="P803" s="10" t="n">
        <f aca="false">IFERROR(O803/N803,0)</f>
        <v>0.299788601939632</v>
      </c>
      <c r="Q803" s="7" t="str">
        <f aca="false">TEXT(B803,"mmm")</f>
        <v>Aug</v>
      </c>
      <c r="R803" s="7" t="str">
        <f aca="false">TEXT(B803,"yyyy-mm")</f>
        <v>2024-08</v>
      </c>
    </row>
    <row r="804" customFormat="false" ht="15" hidden="false" customHeight="false" outlineLevel="0" collapsed="false">
      <c r="A804" s="7" t="s">
        <v>1455</v>
      </c>
      <c r="B804" s="7" t="s">
        <v>691</v>
      </c>
      <c r="C804" s="7" t="s">
        <v>1456</v>
      </c>
      <c r="D804" s="7" t="s">
        <v>314</v>
      </c>
      <c r="E804" s="7" t="s">
        <v>315</v>
      </c>
      <c r="F804" s="7" t="s">
        <v>64</v>
      </c>
      <c r="G804" s="7" t="s">
        <v>73</v>
      </c>
      <c r="H804" s="7" t="s">
        <v>211</v>
      </c>
      <c r="I804" s="7" t="s">
        <v>51</v>
      </c>
      <c r="J804" s="7" t="n">
        <v>4</v>
      </c>
      <c r="K804" s="8" t="n">
        <v>4059</v>
      </c>
      <c r="L804" s="9" t="n">
        <v>0</v>
      </c>
      <c r="M804" s="8" t="n">
        <v>9118.16</v>
      </c>
      <c r="N804" s="8" t="n">
        <f aca="false">J804*K804*(1-L804)</f>
        <v>16236</v>
      </c>
      <c r="O804" s="8" t="n">
        <f aca="false">N804-M804</f>
        <v>7117.84</v>
      </c>
      <c r="P804" s="10" t="n">
        <f aca="false">IFERROR(O804/N804,0)</f>
        <v>0.43839862034984</v>
      </c>
      <c r="Q804" s="7" t="str">
        <f aca="false">TEXT(B804,"mmm")</f>
        <v>Jun</v>
      </c>
      <c r="R804" s="7" t="str">
        <f aca="false">TEXT(B804,"yyyy-mm")</f>
        <v>2024-06</v>
      </c>
    </row>
    <row r="805" customFormat="false" ht="15" hidden="false" customHeight="false" outlineLevel="0" collapsed="false">
      <c r="A805" s="7" t="s">
        <v>1457</v>
      </c>
      <c r="B805" s="7" t="s">
        <v>377</v>
      </c>
      <c r="C805" s="7" t="s">
        <v>269</v>
      </c>
      <c r="D805" s="7" t="s">
        <v>46</v>
      </c>
      <c r="E805" s="7" t="s">
        <v>47</v>
      </c>
      <c r="F805" s="7" t="s">
        <v>48</v>
      </c>
      <c r="G805" s="7" t="s">
        <v>49</v>
      </c>
      <c r="H805" s="7" t="s">
        <v>50</v>
      </c>
      <c r="I805" s="7" t="s">
        <v>51</v>
      </c>
      <c r="J805" s="7" t="n">
        <v>3</v>
      </c>
      <c r="K805" s="8" t="n">
        <v>4349</v>
      </c>
      <c r="L805" s="9" t="n">
        <v>0.05</v>
      </c>
      <c r="M805" s="8" t="n">
        <v>7466.31</v>
      </c>
      <c r="N805" s="8" t="n">
        <f aca="false">J805*K805*(1-L805)</f>
        <v>12394.65</v>
      </c>
      <c r="O805" s="8" t="n">
        <f aca="false">N805-M805</f>
        <v>4928.34</v>
      </c>
      <c r="P805" s="10" t="n">
        <f aca="false">IFERROR(O805/N805,0)</f>
        <v>0.397618327262166</v>
      </c>
      <c r="Q805" s="7" t="str">
        <f aca="false">TEXT(B805,"mmm")</f>
        <v>Nov</v>
      </c>
      <c r="R805" s="7" t="str">
        <f aca="false">TEXT(B805,"yyyy-mm")</f>
        <v>2024-11</v>
      </c>
    </row>
    <row r="806" customFormat="false" ht="15" hidden="false" customHeight="false" outlineLevel="0" collapsed="false">
      <c r="A806" s="7" t="s">
        <v>1458</v>
      </c>
      <c r="B806" s="7" t="s">
        <v>412</v>
      </c>
      <c r="C806" s="7" t="s">
        <v>843</v>
      </c>
      <c r="D806" s="7" t="s">
        <v>197</v>
      </c>
      <c r="E806" s="7" t="s">
        <v>198</v>
      </c>
      <c r="F806" s="7" t="s">
        <v>64</v>
      </c>
      <c r="G806" s="7" t="s">
        <v>65</v>
      </c>
      <c r="H806" s="7" t="s">
        <v>126</v>
      </c>
      <c r="I806" s="7" t="s">
        <v>51</v>
      </c>
      <c r="J806" s="7" t="n">
        <v>3</v>
      </c>
      <c r="K806" s="8" t="n">
        <v>2910</v>
      </c>
      <c r="L806" s="9" t="n">
        <v>0</v>
      </c>
      <c r="M806" s="8" t="n">
        <v>4020.48</v>
      </c>
      <c r="N806" s="8" t="n">
        <f aca="false">J806*K806*(1-L806)</f>
        <v>8730</v>
      </c>
      <c r="O806" s="8" t="n">
        <f aca="false">N806-M806</f>
        <v>4709.52</v>
      </c>
      <c r="P806" s="10" t="n">
        <f aca="false">IFERROR(O806/N806,0)</f>
        <v>0.539463917525773</v>
      </c>
      <c r="Q806" s="7" t="str">
        <f aca="false">TEXT(B806,"mmm")</f>
        <v>Apr</v>
      </c>
      <c r="R806" s="7" t="str">
        <f aca="false">TEXT(B806,"yyyy-mm")</f>
        <v>2024-04</v>
      </c>
    </row>
    <row r="807" customFormat="false" ht="15" hidden="false" customHeight="false" outlineLevel="0" collapsed="false">
      <c r="A807" s="7" t="s">
        <v>1459</v>
      </c>
      <c r="B807" s="7" t="s">
        <v>485</v>
      </c>
      <c r="C807" s="7" t="s">
        <v>1020</v>
      </c>
      <c r="D807" s="7" t="s">
        <v>326</v>
      </c>
      <c r="E807" s="7" t="s">
        <v>327</v>
      </c>
      <c r="F807" s="7" t="s">
        <v>57</v>
      </c>
      <c r="G807" s="7" t="s">
        <v>49</v>
      </c>
      <c r="H807" s="7" t="s">
        <v>172</v>
      </c>
      <c r="I807" s="7" t="s">
        <v>51</v>
      </c>
      <c r="J807" s="7" t="n">
        <v>4</v>
      </c>
      <c r="K807" s="8" t="n">
        <v>5950</v>
      </c>
      <c r="L807" s="9" t="n">
        <v>0.1</v>
      </c>
      <c r="M807" s="8" t="n">
        <v>9667.76</v>
      </c>
      <c r="N807" s="8" t="n">
        <f aca="false">J807*K807*(1-L807)</f>
        <v>21420</v>
      </c>
      <c r="O807" s="8" t="n">
        <f aca="false">N807-M807</f>
        <v>11752.24</v>
      </c>
      <c r="P807" s="10" t="n">
        <f aca="false">IFERROR(O807/N807,0)</f>
        <v>0.548657329598506</v>
      </c>
      <c r="Q807" s="7" t="str">
        <f aca="false">TEXT(B807,"mmm")</f>
        <v>Jul</v>
      </c>
      <c r="R807" s="7" t="str">
        <f aca="false">TEXT(B807,"yyyy-mm")</f>
        <v>2024-07</v>
      </c>
    </row>
    <row r="808" customFormat="false" ht="15" hidden="false" customHeight="false" outlineLevel="0" collapsed="false">
      <c r="A808" s="7" t="s">
        <v>1460</v>
      </c>
      <c r="B808" s="7" t="s">
        <v>174</v>
      </c>
      <c r="C808" s="7" t="s">
        <v>248</v>
      </c>
      <c r="D808" s="7" t="s">
        <v>70</v>
      </c>
      <c r="E808" s="7" t="s">
        <v>71</v>
      </c>
      <c r="F808" s="7" t="s">
        <v>72</v>
      </c>
      <c r="G808" s="7" t="s">
        <v>49</v>
      </c>
      <c r="H808" s="7" t="s">
        <v>50</v>
      </c>
      <c r="I808" s="7" t="s">
        <v>51</v>
      </c>
      <c r="J808" s="7" t="n">
        <v>6</v>
      </c>
      <c r="K808" s="8" t="n">
        <v>3059</v>
      </c>
      <c r="L808" s="9" t="n">
        <v>0</v>
      </c>
      <c r="M808" s="8" t="n">
        <v>9638.76</v>
      </c>
      <c r="N808" s="8" t="n">
        <f aca="false">J808*K808*(1-L808)</f>
        <v>18354</v>
      </c>
      <c r="O808" s="8" t="n">
        <f aca="false">N808-M808</f>
        <v>8715.24</v>
      </c>
      <c r="P808" s="10" t="n">
        <f aca="false">IFERROR(O808/N808,0)</f>
        <v>0.474841451454724</v>
      </c>
      <c r="Q808" s="7" t="str">
        <f aca="false">TEXT(B808,"mmm")</f>
        <v>Nov</v>
      </c>
      <c r="R808" s="7" t="str">
        <f aca="false">TEXT(B808,"yyyy-mm")</f>
        <v>2024-11</v>
      </c>
    </row>
    <row r="809" customFormat="false" ht="15" hidden="false" customHeight="false" outlineLevel="0" collapsed="false">
      <c r="A809" s="7" t="s">
        <v>1461</v>
      </c>
      <c r="B809" s="7" t="s">
        <v>847</v>
      </c>
      <c r="C809" s="7" t="s">
        <v>386</v>
      </c>
      <c r="D809" s="7" t="s">
        <v>154</v>
      </c>
      <c r="E809" s="7" t="s">
        <v>155</v>
      </c>
      <c r="F809" s="7" t="s">
        <v>57</v>
      </c>
      <c r="G809" s="7" t="s">
        <v>65</v>
      </c>
      <c r="H809" s="7" t="s">
        <v>66</v>
      </c>
      <c r="I809" s="7" t="s">
        <v>75</v>
      </c>
      <c r="J809" s="7" t="n">
        <v>3</v>
      </c>
      <c r="K809" s="8" t="n">
        <v>2949</v>
      </c>
      <c r="L809" s="9" t="n">
        <v>0</v>
      </c>
      <c r="M809" s="8" t="n">
        <v>4666.17</v>
      </c>
      <c r="N809" s="8" t="n">
        <f aca="false">J809*K809*(1-L809)</f>
        <v>8847</v>
      </c>
      <c r="O809" s="8" t="n">
        <f aca="false">N809-M809</f>
        <v>4180.83</v>
      </c>
      <c r="P809" s="10" t="n">
        <f aca="false">IFERROR(O809/N809,0)</f>
        <v>0.472570362834859</v>
      </c>
      <c r="Q809" s="7" t="str">
        <f aca="false">TEXT(B809,"mmm")</f>
        <v>May</v>
      </c>
      <c r="R809" s="7" t="str">
        <f aca="false">TEXT(B809,"yyyy-mm")</f>
        <v>2024-05</v>
      </c>
    </row>
    <row r="810" customFormat="false" ht="15" hidden="false" customHeight="false" outlineLevel="0" collapsed="false">
      <c r="A810" s="7" t="s">
        <v>1462</v>
      </c>
      <c r="B810" s="7" t="s">
        <v>1348</v>
      </c>
      <c r="C810" s="7" t="s">
        <v>373</v>
      </c>
      <c r="D810" s="7" t="s">
        <v>176</v>
      </c>
      <c r="E810" s="7" t="s">
        <v>177</v>
      </c>
      <c r="F810" s="7" t="s">
        <v>72</v>
      </c>
      <c r="G810" s="7" t="s">
        <v>49</v>
      </c>
      <c r="H810" s="7" t="s">
        <v>50</v>
      </c>
      <c r="I810" s="7" t="s">
        <v>51</v>
      </c>
      <c r="J810" s="7" t="n">
        <v>2</v>
      </c>
      <c r="K810" s="8" t="n">
        <v>3969</v>
      </c>
      <c r="L810" s="9" t="n">
        <v>0.2</v>
      </c>
      <c r="M810" s="8" t="n">
        <v>4295.94</v>
      </c>
      <c r="N810" s="8" t="n">
        <f aca="false">J810*K810*(1-L810)</f>
        <v>6350.4</v>
      </c>
      <c r="O810" s="8" t="n">
        <f aca="false">N810-M810</f>
        <v>2054.46</v>
      </c>
      <c r="P810" s="10" t="n">
        <f aca="false">IFERROR(O810/N810,0)</f>
        <v>0.323516628873772</v>
      </c>
      <c r="Q810" s="7" t="str">
        <f aca="false">TEXT(B810,"mmm")</f>
        <v>Jun</v>
      </c>
      <c r="R810" s="7" t="str">
        <f aca="false">TEXT(B810,"yyyy-mm")</f>
        <v>2024-06</v>
      </c>
    </row>
    <row r="811" customFormat="false" ht="15" hidden="false" customHeight="false" outlineLevel="0" collapsed="false">
      <c r="A811" s="7" t="s">
        <v>1463</v>
      </c>
      <c r="B811" s="7" t="s">
        <v>618</v>
      </c>
      <c r="C811" s="7" t="s">
        <v>1203</v>
      </c>
      <c r="D811" s="7" t="s">
        <v>343</v>
      </c>
      <c r="E811" s="7" t="s">
        <v>344</v>
      </c>
      <c r="F811" s="7" t="s">
        <v>88</v>
      </c>
      <c r="G811" s="7" t="s">
        <v>73</v>
      </c>
      <c r="H811" s="7" t="s">
        <v>211</v>
      </c>
      <c r="I811" s="7" t="s">
        <v>75</v>
      </c>
      <c r="J811" s="7" t="n">
        <v>5</v>
      </c>
      <c r="K811" s="8" t="n">
        <v>2169</v>
      </c>
      <c r="L811" s="9" t="n">
        <v>0</v>
      </c>
      <c r="M811" s="8" t="n">
        <v>7469.5</v>
      </c>
      <c r="N811" s="8" t="n">
        <f aca="false">J811*K811*(1-L811)</f>
        <v>10845</v>
      </c>
      <c r="O811" s="8" t="n">
        <f aca="false">N811-M811</f>
        <v>3375.5</v>
      </c>
      <c r="P811" s="10" t="n">
        <f aca="false">IFERROR(O811/N811,0)</f>
        <v>0.311249423697557</v>
      </c>
      <c r="Q811" s="7" t="str">
        <f aca="false">TEXT(B811,"mmm")</f>
        <v>Sep</v>
      </c>
      <c r="R811" s="7" t="str">
        <f aca="false">TEXT(B811,"yyyy-mm")</f>
        <v>2024-09</v>
      </c>
    </row>
    <row r="812" customFormat="false" ht="15" hidden="false" customHeight="false" outlineLevel="0" collapsed="false">
      <c r="A812" s="7" t="s">
        <v>1464</v>
      </c>
      <c r="B812" s="7" t="s">
        <v>1465</v>
      </c>
      <c r="C812" s="7" t="s">
        <v>123</v>
      </c>
      <c r="D812" s="7" t="s">
        <v>459</v>
      </c>
      <c r="E812" s="7" t="s">
        <v>460</v>
      </c>
      <c r="F812" s="7" t="s">
        <v>64</v>
      </c>
      <c r="G812" s="7" t="s">
        <v>73</v>
      </c>
      <c r="H812" s="7" t="s">
        <v>115</v>
      </c>
      <c r="I812" s="7" t="s">
        <v>51</v>
      </c>
      <c r="J812" s="7" t="n">
        <v>2</v>
      </c>
      <c r="K812" s="8" t="n">
        <v>1520</v>
      </c>
      <c r="L812" s="9" t="n">
        <v>0.15</v>
      </c>
      <c r="M812" s="8" t="n">
        <v>1771.42</v>
      </c>
      <c r="N812" s="8" t="n">
        <f aca="false">J812*K812*(1-L812)</f>
        <v>2584</v>
      </c>
      <c r="O812" s="8" t="n">
        <f aca="false">N812-M812</f>
        <v>812.58</v>
      </c>
      <c r="P812" s="10" t="n">
        <f aca="false">IFERROR(O812/N812,0)</f>
        <v>0.314465944272446</v>
      </c>
      <c r="Q812" s="7" t="str">
        <f aca="false">TEXT(B812,"mmm")</f>
        <v>Jul</v>
      </c>
      <c r="R812" s="7" t="str">
        <f aca="false">TEXT(B812,"yyyy-mm")</f>
        <v>2024-07</v>
      </c>
    </row>
    <row r="813" customFormat="false" ht="15" hidden="false" customHeight="false" outlineLevel="0" collapsed="false">
      <c r="A813" s="7" t="s">
        <v>1466</v>
      </c>
      <c r="B813" s="7" t="s">
        <v>1012</v>
      </c>
      <c r="C813" s="7" t="s">
        <v>728</v>
      </c>
      <c r="D813" s="7" t="s">
        <v>227</v>
      </c>
      <c r="E813" s="7" t="s">
        <v>228</v>
      </c>
      <c r="F813" s="7" t="s">
        <v>64</v>
      </c>
      <c r="G813" s="7" t="s">
        <v>65</v>
      </c>
      <c r="H813" s="7" t="s">
        <v>66</v>
      </c>
      <c r="I813" s="7" t="s">
        <v>51</v>
      </c>
      <c r="J813" s="7" t="n">
        <v>8</v>
      </c>
      <c r="K813" s="8" t="n">
        <v>5529</v>
      </c>
      <c r="L813" s="9" t="n">
        <v>0.05</v>
      </c>
      <c r="M813" s="8" t="n">
        <v>24421.76</v>
      </c>
      <c r="N813" s="8" t="n">
        <f aca="false">J813*K813*(1-L813)</f>
        <v>42020.4</v>
      </c>
      <c r="O813" s="8" t="n">
        <f aca="false">N813-M813</f>
        <v>17598.64</v>
      </c>
      <c r="P813" s="10" t="n">
        <f aca="false">IFERROR(O813/N813,0)</f>
        <v>0.418811815213563</v>
      </c>
      <c r="Q813" s="7" t="str">
        <f aca="false">TEXT(B813,"mmm")</f>
        <v>Oct</v>
      </c>
      <c r="R813" s="7" t="str">
        <f aca="false">TEXT(B813,"yyyy-mm")</f>
        <v>2024-10</v>
      </c>
    </row>
    <row r="814" customFormat="false" ht="15" hidden="false" customHeight="false" outlineLevel="0" collapsed="false">
      <c r="A814" s="7" t="s">
        <v>1467</v>
      </c>
      <c r="B814" s="7" t="s">
        <v>509</v>
      </c>
      <c r="C814" s="7" t="s">
        <v>223</v>
      </c>
      <c r="D814" s="7" t="s">
        <v>135</v>
      </c>
      <c r="E814" s="7" t="s">
        <v>136</v>
      </c>
      <c r="F814" s="7" t="s">
        <v>72</v>
      </c>
      <c r="G814" s="7" t="s">
        <v>65</v>
      </c>
      <c r="H814" s="7" t="s">
        <v>217</v>
      </c>
      <c r="I814" s="7" t="s">
        <v>51</v>
      </c>
      <c r="J814" s="7" t="n">
        <v>4</v>
      </c>
      <c r="K814" s="8" t="n">
        <v>7029</v>
      </c>
      <c r="L814" s="9" t="n">
        <v>0.05</v>
      </c>
      <c r="M814" s="8" t="n">
        <v>13948.04</v>
      </c>
      <c r="N814" s="8" t="n">
        <f aca="false">J814*K814*(1-L814)</f>
        <v>26710.2</v>
      </c>
      <c r="O814" s="8" t="n">
        <f aca="false">N814-M814</f>
        <v>12762.16</v>
      </c>
      <c r="P814" s="10" t="n">
        <f aca="false">IFERROR(O814/N814,0)</f>
        <v>0.477800989884014</v>
      </c>
      <c r="Q814" s="7" t="str">
        <f aca="false">TEXT(B814,"mmm")</f>
        <v>Feb</v>
      </c>
      <c r="R814" s="7" t="str">
        <f aca="false">TEXT(B814,"yyyy-mm")</f>
        <v>2024-02</v>
      </c>
    </row>
    <row r="815" customFormat="false" ht="15" hidden="false" customHeight="false" outlineLevel="0" collapsed="false">
      <c r="A815" s="7" t="s">
        <v>1468</v>
      </c>
      <c r="B815" s="7" t="s">
        <v>753</v>
      </c>
      <c r="C815" s="7" t="s">
        <v>566</v>
      </c>
      <c r="D815" s="7" t="s">
        <v>215</v>
      </c>
      <c r="E815" s="7" t="s">
        <v>216</v>
      </c>
      <c r="F815" s="7" t="s">
        <v>57</v>
      </c>
      <c r="G815" s="7" t="s">
        <v>73</v>
      </c>
      <c r="H815" s="7" t="s">
        <v>115</v>
      </c>
      <c r="I815" s="7" t="s">
        <v>75</v>
      </c>
      <c r="J815" s="7" t="n">
        <v>7</v>
      </c>
      <c r="K815" s="8" t="n">
        <v>3749</v>
      </c>
      <c r="L815" s="9" t="n">
        <v>0</v>
      </c>
      <c r="M815" s="8" t="n">
        <v>20031.13</v>
      </c>
      <c r="N815" s="8" t="n">
        <f aca="false">J815*K815*(1-L815)</f>
        <v>26243</v>
      </c>
      <c r="O815" s="8" t="n">
        <f aca="false">N815-M815</f>
        <v>6211.87</v>
      </c>
      <c r="P815" s="10" t="n">
        <f aca="false">IFERROR(O815/N815,0)</f>
        <v>0.236705788210189</v>
      </c>
      <c r="Q815" s="7" t="str">
        <f aca="false">TEXT(B815,"mmm")</f>
        <v>Sep</v>
      </c>
      <c r="R815" s="7" t="str">
        <f aca="false">TEXT(B815,"yyyy-mm")</f>
        <v>2024-09</v>
      </c>
    </row>
    <row r="816" customFormat="false" ht="15" hidden="false" customHeight="false" outlineLevel="0" collapsed="false">
      <c r="A816" s="7" t="s">
        <v>1469</v>
      </c>
      <c r="B816" s="7" t="s">
        <v>1470</v>
      </c>
      <c r="C816" s="7" t="s">
        <v>504</v>
      </c>
      <c r="D816" s="7" t="s">
        <v>79</v>
      </c>
      <c r="E816" s="7" t="s">
        <v>80</v>
      </c>
      <c r="F816" s="7" t="s">
        <v>72</v>
      </c>
      <c r="G816" s="7" t="s">
        <v>81</v>
      </c>
      <c r="H816" s="7" t="s">
        <v>186</v>
      </c>
      <c r="I816" s="7" t="s">
        <v>51</v>
      </c>
      <c r="J816" s="7" t="n">
        <v>6</v>
      </c>
      <c r="K816" s="8" t="n">
        <v>4769</v>
      </c>
      <c r="L816" s="9" t="n">
        <v>0.1</v>
      </c>
      <c r="M816" s="8" t="n">
        <v>16348.86</v>
      </c>
      <c r="N816" s="8" t="n">
        <f aca="false">J816*K816*(1-L816)</f>
        <v>25752.6</v>
      </c>
      <c r="O816" s="8" t="n">
        <f aca="false">N816-M816</f>
        <v>9403.74</v>
      </c>
      <c r="P816" s="10" t="n">
        <f aca="false">IFERROR(O816/N816,0)</f>
        <v>0.36515691619487</v>
      </c>
      <c r="Q816" s="7" t="str">
        <f aca="false">TEXT(B816,"mmm")</f>
        <v>Aug</v>
      </c>
      <c r="R816" s="7" t="str">
        <f aca="false">TEXT(B816,"yyyy-mm")</f>
        <v>2024-08</v>
      </c>
    </row>
    <row r="817" customFormat="false" ht="15" hidden="false" customHeight="false" outlineLevel="0" collapsed="false">
      <c r="A817" s="7" t="s">
        <v>1471</v>
      </c>
      <c r="B817" s="7" t="s">
        <v>824</v>
      </c>
      <c r="C817" s="7" t="s">
        <v>205</v>
      </c>
      <c r="D817" s="7" t="s">
        <v>176</v>
      </c>
      <c r="E817" s="7" t="s">
        <v>177</v>
      </c>
      <c r="F817" s="7" t="s">
        <v>72</v>
      </c>
      <c r="G817" s="7" t="s">
        <v>81</v>
      </c>
      <c r="H817" s="7" t="s">
        <v>237</v>
      </c>
      <c r="I817" s="7" t="s">
        <v>75</v>
      </c>
      <c r="J817" s="7" t="n">
        <v>2</v>
      </c>
      <c r="K817" s="8" t="n">
        <v>3969</v>
      </c>
      <c r="L817" s="9" t="n">
        <v>0.15</v>
      </c>
      <c r="M817" s="8" t="n">
        <v>4295.94</v>
      </c>
      <c r="N817" s="8" t="n">
        <f aca="false">J817*K817*(1-L817)</f>
        <v>6747.3</v>
      </c>
      <c r="O817" s="8" t="n">
        <f aca="false">N817-M817</f>
        <v>2451.36</v>
      </c>
      <c r="P817" s="10" t="n">
        <f aca="false">IFERROR(O817/N817,0)</f>
        <v>0.363309768351785</v>
      </c>
      <c r="Q817" s="7" t="str">
        <f aca="false">TEXT(B817,"mmm")</f>
        <v>Jun</v>
      </c>
      <c r="R817" s="7" t="str">
        <f aca="false">TEXT(B817,"yyyy-mm")</f>
        <v>2024-06</v>
      </c>
    </row>
    <row r="818" customFormat="false" ht="15" hidden="false" customHeight="false" outlineLevel="0" collapsed="false">
      <c r="A818" s="7" t="s">
        <v>1472</v>
      </c>
      <c r="B818" s="7" t="s">
        <v>616</v>
      </c>
      <c r="C818" s="7" t="s">
        <v>405</v>
      </c>
      <c r="D818" s="7" t="s">
        <v>119</v>
      </c>
      <c r="E818" s="7" t="s">
        <v>120</v>
      </c>
      <c r="F818" s="7" t="s">
        <v>88</v>
      </c>
      <c r="G818" s="7" t="s">
        <v>81</v>
      </c>
      <c r="H818" s="7" t="s">
        <v>82</v>
      </c>
      <c r="I818" s="7" t="s">
        <v>51</v>
      </c>
      <c r="J818" s="7" t="n">
        <v>8</v>
      </c>
      <c r="K818" s="8" t="n">
        <v>620</v>
      </c>
      <c r="L818" s="9" t="n">
        <v>0.15</v>
      </c>
      <c r="M818" s="8" t="n">
        <v>3636.4</v>
      </c>
      <c r="N818" s="8" t="n">
        <f aca="false">J818*K818*(1-L818)</f>
        <v>4216</v>
      </c>
      <c r="O818" s="8" t="n">
        <f aca="false">N818-M818</f>
        <v>579.6</v>
      </c>
      <c r="P818" s="10" t="n">
        <f aca="false">IFERROR(O818/N818,0)</f>
        <v>0.137476280834915</v>
      </c>
      <c r="Q818" s="7" t="str">
        <f aca="false">TEXT(B818,"mmm")</f>
        <v>Aug</v>
      </c>
      <c r="R818" s="7" t="str">
        <f aca="false">TEXT(B818,"yyyy-mm")</f>
        <v>2024-08</v>
      </c>
    </row>
    <row r="819" customFormat="false" ht="15" hidden="false" customHeight="false" outlineLevel="0" collapsed="false">
      <c r="A819" s="7" t="s">
        <v>1473</v>
      </c>
      <c r="B819" s="7" t="s">
        <v>731</v>
      </c>
      <c r="C819" s="7" t="s">
        <v>263</v>
      </c>
      <c r="D819" s="7" t="s">
        <v>249</v>
      </c>
      <c r="E819" s="7" t="s">
        <v>250</v>
      </c>
      <c r="F819" s="7" t="s">
        <v>57</v>
      </c>
      <c r="G819" s="7" t="s">
        <v>73</v>
      </c>
      <c r="H819" s="7" t="s">
        <v>115</v>
      </c>
      <c r="I819" s="7" t="s">
        <v>51</v>
      </c>
      <c r="J819" s="7" t="n">
        <v>6</v>
      </c>
      <c r="K819" s="8" t="n">
        <v>1730</v>
      </c>
      <c r="L819" s="9" t="n">
        <v>0.2</v>
      </c>
      <c r="M819" s="8" t="n">
        <v>5294.64</v>
      </c>
      <c r="N819" s="8" t="n">
        <f aca="false">J819*K819*(1-L819)</f>
        <v>8304</v>
      </c>
      <c r="O819" s="8" t="n">
        <f aca="false">N819-M819</f>
        <v>3009.36</v>
      </c>
      <c r="P819" s="10" t="n">
        <f aca="false">IFERROR(O819/N819,0)</f>
        <v>0.362398843930636</v>
      </c>
      <c r="Q819" s="7" t="str">
        <f aca="false">TEXT(B819,"mmm")</f>
        <v>Dec</v>
      </c>
      <c r="R819" s="7" t="str">
        <f aca="false">TEXT(B819,"yyyy-mm")</f>
        <v>2024-12</v>
      </c>
    </row>
    <row r="820" customFormat="false" ht="15" hidden="false" customHeight="false" outlineLevel="0" collapsed="false">
      <c r="A820" s="7" t="s">
        <v>1474</v>
      </c>
      <c r="B820" s="7" t="s">
        <v>193</v>
      </c>
      <c r="C820" s="7" t="s">
        <v>45</v>
      </c>
      <c r="D820" s="7" t="s">
        <v>227</v>
      </c>
      <c r="E820" s="7" t="s">
        <v>228</v>
      </c>
      <c r="F820" s="7" t="s">
        <v>64</v>
      </c>
      <c r="G820" s="7" t="s">
        <v>65</v>
      </c>
      <c r="H820" s="7" t="s">
        <v>66</v>
      </c>
      <c r="I820" s="7" t="s">
        <v>51</v>
      </c>
      <c r="J820" s="7" t="n">
        <v>3</v>
      </c>
      <c r="K820" s="8" t="n">
        <v>5529</v>
      </c>
      <c r="L820" s="9" t="n">
        <v>0</v>
      </c>
      <c r="M820" s="8" t="n">
        <v>9158.16</v>
      </c>
      <c r="N820" s="8" t="n">
        <f aca="false">J820*K820*(1-L820)</f>
        <v>16587</v>
      </c>
      <c r="O820" s="8" t="n">
        <f aca="false">N820-M820</f>
        <v>7428.84</v>
      </c>
      <c r="P820" s="10" t="n">
        <f aca="false">IFERROR(O820/N820,0)</f>
        <v>0.447871224452885</v>
      </c>
      <c r="Q820" s="7" t="str">
        <f aca="false">TEXT(B820,"mmm")</f>
        <v>May</v>
      </c>
      <c r="R820" s="7" t="str">
        <f aca="false">TEXT(B820,"yyyy-mm")</f>
        <v>2024-05</v>
      </c>
    </row>
    <row r="821" customFormat="false" ht="15" hidden="false" customHeight="false" outlineLevel="0" collapsed="false">
      <c r="A821" s="7" t="s">
        <v>1475</v>
      </c>
      <c r="B821" s="7" t="s">
        <v>98</v>
      </c>
      <c r="C821" s="7" t="s">
        <v>924</v>
      </c>
      <c r="D821" s="7" t="s">
        <v>79</v>
      </c>
      <c r="E821" s="7" t="s">
        <v>80</v>
      </c>
      <c r="F821" s="7" t="s">
        <v>72</v>
      </c>
      <c r="G821" s="7" t="s">
        <v>49</v>
      </c>
      <c r="H821" s="7" t="s">
        <v>172</v>
      </c>
      <c r="I821" s="7" t="s">
        <v>51</v>
      </c>
      <c r="J821" s="7" t="n">
        <v>1</v>
      </c>
      <c r="K821" s="8" t="n">
        <v>4769</v>
      </c>
      <c r="L821" s="9" t="n">
        <v>0</v>
      </c>
      <c r="M821" s="8" t="n">
        <v>2724.81</v>
      </c>
      <c r="N821" s="8" t="n">
        <f aca="false">J821*K821*(1-L821)</f>
        <v>4769</v>
      </c>
      <c r="O821" s="8" t="n">
        <f aca="false">N821-M821</f>
        <v>2044.19</v>
      </c>
      <c r="P821" s="10" t="n">
        <f aca="false">IFERROR(O821/N821,0)</f>
        <v>0.428641224575383</v>
      </c>
      <c r="Q821" s="7" t="str">
        <f aca="false">TEXT(B821,"mmm")</f>
        <v>Jun</v>
      </c>
      <c r="R821" s="7" t="str">
        <f aca="false">TEXT(B821,"yyyy-mm")</f>
        <v>2024-06</v>
      </c>
    </row>
    <row r="822" customFormat="false" ht="15" hidden="false" customHeight="false" outlineLevel="0" collapsed="false">
      <c r="A822" s="7" t="s">
        <v>1476</v>
      </c>
      <c r="B822" s="7" t="s">
        <v>701</v>
      </c>
      <c r="C822" s="7" t="s">
        <v>269</v>
      </c>
      <c r="D822" s="7" t="s">
        <v>162</v>
      </c>
      <c r="E822" s="7" t="s">
        <v>163</v>
      </c>
      <c r="F822" s="7" t="s">
        <v>57</v>
      </c>
      <c r="G822" s="7" t="s">
        <v>49</v>
      </c>
      <c r="H822" s="7" t="s">
        <v>172</v>
      </c>
      <c r="I822" s="7" t="s">
        <v>75</v>
      </c>
      <c r="J822" s="7" t="n">
        <v>4</v>
      </c>
      <c r="K822" s="8" t="n">
        <v>4629</v>
      </c>
      <c r="L822" s="9" t="n">
        <v>0</v>
      </c>
      <c r="M822" s="8" t="n">
        <v>8120.68</v>
      </c>
      <c r="N822" s="8" t="n">
        <f aca="false">J822*K822*(1-L822)</f>
        <v>18516</v>
      </c>
      <c r="O822" s="8" t="n">
        <f aca="false">N822-M822</f>
        <v>10395.32</v>
      </c>
      <c r="P822" s="10" t="n">
        <f aca="false">IFERROR(O822/N822,0)</f>
        <v>0.561423633614172</v>
      </c>
      <c r="Q822" s="7" t="str">
        <f aca="false">TEXT(B822,"mmm")</f>
        <v>Dec</v>
      </c>
      <c r="R822" s="7" t="str">
        <f aca="false">TEXT(B822,"yyyy-mm")</f>
        <v>2024-12</v>
      </c>
    </row>
    <row r="823" customFormat="false" ht="15" hidden="false" customHeight="false" outlineLevel="0" collapsed="false">
      <c r="A823" s="7" t="s">
        <v>1477</v>
      </c>
      <c r="B823" s="7" t="s">
        <v>329</v>
      </c>
      <c r="C823" s="7" t="s">
        <v>935</v>
      </c>
      <c r="D823" s="7" t="s">
        <v>140</v>
      </c>
      <c r="E823" s="7" t="s">
        <v>141</v>
      </c>
      <c r="F823" s="7" t="s">
        <v>57</v>
      </c>
      <c r="G823" s="7" t="s">
        <v>73</v>
      </c>
      <c r="H823" s="7" t="s">
        <v>74</v>
      </c>
      <c r="I823" s="7" t="s">
        <v>51</v>
      </c>
      <c r="J823" s="7" t="n">
        <v>7</v>
      </c>
      <c r="K823" s="8" t="n">
        <v>1440</v>
      </c>
      <c r="L823" s="9" t="n">
        <v>0</v>
      </c>
      <c r="M823" s="8" t="n">
        <v>6792.73</v>
      </c>
      <c r="N823" s="8" t="n">
        <f aca="false">J823*K823*(1-L823)</f>
        <v>10080</v>
      </c>
      <c r="O823" s="8" t="n">
        <f aca="false">N823-M823</f>
        <v>3287.27</v>
      </c>
      <c r="P823" s="10" t="n">
        <f aca="false">IFERROR(O823/N823,0)</f>
        <v>0.326118055555556</v>
      </c>
      <c r="Q823" s="7" t="str">
        <f aca="false">TEXT(B823,"mmm")</f>
        <v>Sep</v>
      </c>
      <c r="R823" s="7" t="str">
        <f aca="false">TEXT(B823,"yyyy-mm")</f>
        <v>2024-09</v>
      </c>
    </row>
    <row r="824" customFormat="false" ht="15" hidden="false" customHeight="false" outlineLevel="0" collapsed="false">
      <c r="A824" s="7" t="s">
        <v>1478</v>
      </c>
      <c r="B824" s="7" t="s">
        <v>753</v>
      </c>
      <c r="C824" s="7" t="s">
        <v>426</v>
      </c>
      <c r="D824" s="7" t="s">
        <v>149</v>
      </c>
      <c r="E824" s="7" t="s">
        <v>150</v>
      </c>
      <c r="F824" s="7" t="s">
        <v>88</v>
      </c>
      <c r="G824" s="7" t="s">
        <v>49</v>
      </c>
      <c r="H824" s="7" t="s">
        <v>172</v>
      </c>
      <c r="I824" s="7" t="s">
        <v>51</v>
      </c>
      <c r="J824" s="7" t="n">
        <v>3</v>
      </c>
      <c r="K824" s="8" t="n">
        <v>5219</v>
      </c>
      <c r="L824" s="9" t="n">
        <v>0.15</v>
      </c>
      <c r="M824" s="8" t="n">
        <v>10473.12</v>
      </c>
      <c r="N824" s="8" t="n">
        <f aca="false">J824*K824*(1-L824)</f>
        <v>13308.45</v>
      </c>
      <c r="O824" s="8" t="n">
        <f aca="false">N824-M824</f>
        <v>2835.33</v>
      </c>
      <c r="P824" s="10" t="n">
        <f aca="false">IFERROR(O824/N824,0)</f>
        <v>0.213047349616221</v>
      </c>
      <c r="Q824" s="7" t="str">
        <f aca="false">TEXT(B824,"mmm")</f>
        <v>Sep</v>
      </c>
      <c r="R824" s="7" t="str">
        <f aca="false">TEXT(B824,"yyyy-mm")</f>
        <v>2024-09</v>
      </c>
    </row>
    <row r="825" customFormat="false" ht="15" hidden="false" customHeight="false" outlineLevel="0" collapsed="false">
      <c r="A825" s="7" t="s">
        <v>1479</v>
      </c>
      <c r="B825" s="7" t="s">
        <v>421</v>
      </c>
      <c r="C825" s="7" t="s">
        <v>843</v>
      </c>
      <c r="D825" s="7" t="s">
        <v>144</v>
      </c>
      <c r="E825" s="7" t="s">
        <v>145</v>
      </c>
      <c r="F825" s="7" t="s">
        <v>48</v>
      </c>
      <c r="G825" s="7" t="s">
        <v>81</v>
      </c>
      <c r="H825" s="7" t="s">
        <v>237</v>
      </c>
      <c r="I825" s="7" t="s">
        <v>75</v>
      </c>
      <c r="J825" s="7" t="n">
        <v>4</v>
      </c>
      <c r="K825" s="8" t="n">
        <v>5149</v>
      </c>
      <c r="L825" s="9" t="n">
        <v>0.2</v>
      </c>
      <c r="M825" s="8" t="n">
        <v>8689.92</v>
      </c>
      <c r="N825" s="8" t="n">
        <f aca="false">J825*K825*(1-L825)</f>
        <v>16476.8</v>
      </c>
      <c r="O825" s="8" t="n">
        <f aca="false">N825-M825</f>
        <v>7786.88</v>
      </c>
      <c r="P825" s="10" t="n">
        <f aca="false">IFERROR(O825/N825,0)</f>
        <v>0.472596620703049</v>
      </c>
      <c r="Q825" s="7" t="str">
        <f aca="false">TEXT(B825,"mmm")</f>
        <v>Aug</v>
      </c>
      <c r="R825" s="7" t="str">
        <f aca="false">TEXT(B825,"yyyy-mm")</f>
        <v>2024-08</v>
      </c>
    </row>
    <row r="826" customFormat="false" ht="15" hidden="false" customHeight="false" outlineLevel="0" collapsed="false">
      <c r="A826" s="7" t="s">
        <v>1480</v>
      </c>
      <c r="B826" s="7" t="s">
        <v>1159</v>
      </c>
      <c r="C826" s="7" t="s">
        <v>153</v>
      </c>
      <c r="D826" s="7" t="s">
        <v>549</v>
      </c>
      <c r="E826" s="7" t="s">
        <v>550</v>
      </c>
      <c r="F826" s="7" t="s">
        <v>48</v>
      </c>
      <c r="G826" s="7" t="s">
        <v>49</v>
      </c>
      <c r="H826" s="7" t="s">
        <v>50</v>
      </c>
      <c r="I826" s="7" t="s">
        <v>51</v>
      </c>
      <c r="J826" s="7" t="n">
        <v>6</v>
      </c>
      <c r="K826" s="8" t="n">
        <v>3419</v>
      </c>
      <c r="L826" s="9" t="n">
        <v>0</v>
      </c>
      <c r="M826" s="8" t="n">
        <v>15061.92</v>
      </c>
      <c r="N826" s="8" t="n">
        <f aca="false">J826*K826*(1-L826)</f>
        <v>20514</v>
      </c>
      <c r="O826" s="8" t="n">
        <f aca="false">N826-M826</f>
        <v>5452.08</v>
      </c>
      <c r="P826" s="10" t="n">
        <f aca="false">IFERROR(O826/N826,0)</f>
        <v>0.265773618016964</v>
      </c>
      <c r="Q826" s="7" t="str">
        <f aca="false">TEXT(B826,"mmm")</f>
        <v>Oct</v>
      </c>
      <c r="R826" s="7" t="str">
        <f aca="false">TEXT(B826,"yyyy-mm")</f>
        <v>2024-10</v>
      </c>
    </row>
    <row r="827" customFormat="false" ht="15" hidden="false" customHeight="false" outlineLevel="0" collapsed="false">
      <c r="A827" s="7" t="s">
        <v>1481</v>
      </c>
      <c r="B827" s="7" t="s">
        <v>44</v>
      </c>
      <c r="C827" s="7" t="s">
        <v>422</v>
      </c>
      <c r="D827" s="7" t="s">
        <v>244</v>
      </c>
      <c r="E827" s="7" t="s">
        <v>245</v>
      </c>
      <c r="F827" s="7" t="s">
        <v>88</v>
      </c>
      <c r="G827" s="7" t="s">
        <v>49</v>
      </c>
      <c r="H827" s="7" t="s">
        <v>172</v>
      </c>
      <c r="I827" s="7" t="s">
        <v>51</v>
      </c>
      <c r="J827" s="7" t="n">
        <v>2</v>
      </c>
      <c r="K827" s="8" t="n">
        <v>5319</v>
      </c>
      <c r="L827" s="9" t="n">
        <v>0.15</v>
      </c>
      <c r="M827" s="8" t="n">
        <v>6171.66</v>
      </c>
      <c r="N827" s="8" t="n">
        <f aca="false">J827*K827*(1-L827)</f>
        <v>9042.3</v>
      </c>
      <c r="O827" s="8" t="n">
        <f aca="false">N827-M827</f>
        <v>2870.64</v>
      </c>
      <c r="P827" s="10" t="n">
        <f aca="false">IFERROR(O827/N827,0)</f>
        <v>0.31746790086593</v>
      </c>
      <c r="Q827" s="7" t="str">
        <f aca="false">TEXT(B827,"mmm")</f>
        <v>Jul</v>
      </c>
      <c r="R827" s="7" t="str">
        <f aca="false">TEXT(B827,"yyyy-mm")</f>
        <v>2024-07</v>
      </c>
    </row>
    <row r="828" customFormat="false" ht="15" hidden="false" customHeight="false" outlineLevel="0" collapsed="false">
      <c r="A828" s="7" t="s">
        <v>1482</v>
      </c>
      <c r="B828" s="7" t="s">
        <v>444</v>
      </c>
      <c r="C828" s="7" t="s">
        <v>191</v>
      </c>
      <c r="D828" s="7" t="s">
        <v>206</v>
      </c>
      <c r="E828" s="7" t="s">
        <v>207</v>
      </c>
      <c r="F828" s="7" t="s">
        <v>88</v>
      </c>
      <c r="G828" s="7" t="s">
        <v>81</v>
      </c>
      <c r="H828" s="7" t="s">
        <v>237</v>
      </c>
      <c r="I828" s="7" t="s">
        <v>75</v>
      </c>
      <c r="J828" s="7" t="n">
        <v>5</v>
      </c>
      <c r="K828" s="8" t="n">
        <v>1029</v>
      </c>
      <c r="L828" s="9" t="n">
        <v>0</v>
      </c>
      <c r="M828" s="8" t="n">
        <v>3143.1</v>
      </c>
      <c r="N828" s="8" t="n">
        <f aca="false">J828*K828*(1-L828)</f>
        <v>5145</v>
      </c>
      <c r="O828" s="8" t="n">
        <f aca="false">N828-M828</f>
        <v>2001.9</v>
      </c>
      <c r="P828" s="10" t="n">
        <f aca="false">IFERROR(O828/N828,0)</f>
        <v>0.389096209912536</v>
      </c>
      <c r="Q828" s="7" t="str">
        <f aca="false">TEXT(B828,"mmm")</f>
        <v>Aug</v>
      </c>
      <c r="R828" s="7" t="str">
        <f aca="false">TEXT(B828,"yyyy-mm")</f>
        <v>2024-08</v>
      </c>
    </row>
    <row r="829" customFormat="false" ht="15" hidden="false" customHeight="false" outlineLevel="0" collapsed="false">
      <c r="A829" s="7" t="s">
        <v>1483</v>
      </c>
      <c r="B829" s="7" t="s">
        <v>1121</v>
      </c>
      <c r="C829" s="7" t="s">
        <v>248</v>
      </c>
      <c r="D829" s="7" t="s">
        <v>459</v>
      </c>
      <c r="E829" s="7" t="s">
        <v>460</v>
      </c>
      <c r="F829" s="7" t="s">
        <v>64</v>
      </c>
      <c r="G829" s="7" t="s">
        <v>49</v>
      </c>
      <c r="H829" s="7" t="s">
        <v>100</v>
      </c>
      <c r="I829" s="7" t="s">
        <v>51</v>
      </c>
      <c r="J829" s="7" t="n">
        <v>2</v>
      </c>
      <c r="K829" s="8" t="n">
        <v>1520</v>
      </c>
      <c r="L829" s="9" t="n">
        <v>0.1</v>
      </c>
      <c r="M829" s="8" t="n">
        <v>1771.42</v>
      </c>
      <c r="N829" s="8" t="n">
        <f aca="false">J829*K829*(1-L829)</f>
        <v>2736</v>
      </c>
      <c r="O829" s="8" t="n">
        <f aca="false">N829-M829</f>
        <v>964.58</v>
      </c>
      <c r="P829" s="10" t="n">
        <f aca="false">IFERROR(O829/N829,0)</f>
        <v>0.352551169590643</v>
      </c>
      <c r="Q829" s="7" t="str">
        <f aca="false">TEXT(B829,"mmm")</f>
        <v>Aug</v>
      </c>
      <c r="R829" s="7" t="str">
        <f aca="false">TEXT(B829,"yyyy-mm")</f>
        <v>2024-08</v>
      </c>
    </row>
    <row r="830" customFormat="false" ht="15" hidden="false" customHeight="false" outlineLevel="0" collapsed="false">
      <c r="A830" s="7" t="s">
        <v>1484</v>
      </c>
      <c r="B830" s="7" t="s">
        <v>929</v>
      </c>
      <c r="C830" s="7" t="s">
        <v>134</v>
      </c>
      <c r="D830" s="7" t="s">
        <v>70</v>
      </c>
      <c r="E830" s="7" t="s">
        <v>71</v>
      </c>
      <c r="F830" s="7" t="s">
        <v>72</v>
      </c>
      <c r="G830" s="7" t="s">
        <v>73</v>
      </c>
      <c r="H830" s="7" t="s">
        <v>211</v>
      </c>
      <c r="I830" s="7" t="s">
        <v>51</v>
      </c>
      <c r="J830" s="7" t="n">
        <v>4</v>
      </c>
      <c r="K830" s="8" t="n">
        <v>3059</v>
      </c>
      <c r="L830" s="9" t="n">
        <v>0.2</v>
      </c>
      <c r="M830" s="8" t="n">
        <v>6425.84</v>
      </c>
      <c r="N830" s="8" t="n">
        <f aca="false">J830*K830*(1-L830)</f>
        <v>9788.8</v>
      </c>
      <c r="O830" s="8" t="n">
        <f aca="false">N830-M830</f>
        <v>3362.96</v>
      </c>
      <c r="P830" s="10" t="n">
        <f aca="false">IFERROR(O830/N830,0)</f>
        <v>0.343551814318405</v>
      </c>
      <c r="Q830" s="7" t="str">
        <f aca="false">TEXT(B830,"mmm")</f>
        <v>May</v>
      </c>
      <c r="R830" s="7" t="str">
        <f aca="false">TEXT(B830,"yyyy-mm")</f>
        <v>2024-05</v>
      </c>
    </row>
    <row r="831" customFormat="false" ht="15" hidden="false" customHeight="false" outlineLevel="0" collapsed="false">
      <c r="A831" s="7" t="s">
        <v>1485</v>
      </c>
      <c r="B831" s="7" t="s">
        <v>280</v>
      </c>
      <c r="C831" s="7" t="s">
        <v>45</v>
      </c>
      <c r="D831" s="7" t="s">
        <v>176</v>
      </c>
      <c r="E831" s="7" t="s">
        <v>177</v>
      </c>
      <c r="F831" s="7" t="s">
        <v>72</v>
      </c>
      <c r="G831" s="7" t="s">
        <v>81</v>
      </c>
      <c r="H831" s="7" t="s">
        <v>82</v>
      </c>
      <c r="I831" s="7" t="s">
        <v>51</v>
      </c>
      <c r="J831" s="7" t="n">
        <v>6</v>
      </c>
      <c r="K831" s="8" t="n">
        <v>3969</v>
      </c>
      <c r="L831" s="9" t="n">
        <v>0.2</v>
      </c>
      <c r="M831" s="8" t="n">
        <v>12887.82</v>
      </c>
      <c r="N831" s="8" t="n">
        <f aca="false">J831*K831*(1-L831)</f>
        <v>19051.2</v>
      </c>
      <c r="O831" s="8" t="n">
        <f aca="false">N831-M831</f>
        <v>6163.38</v>
      </c>
      <c r="P831" s="10" t="n">
        <f aca="false">IFERROR(O831/N831,0)</f>
        <v>0.323516628873772</v>
      </c>
      <c r="Q831" s="7" t="str">
        <f aca="false">TEXT(B831,"mmm")</f>
        <v>Oct</v>
      </c>
      <c r="R831" s="7" t="str">
        <f aca="false">TEXT(B831,"yyyy-mm")</f>
        <v>2024-10</v>
      </c>
    </row>
    <row r="832" customFormat="false" ht="15" hidden="false" customHeight="false" outlineLevel="0" collapsed="false">
      <c r="A832" s="7" t="s">
        <v>1486</v>
      </c>
      <c r="B832" s="7" t="s">
        <v>506</v>
      </c>
      <c r="C832" s="7" t="s">
        <v>751</v>
      </c>
      <c r="D832" s="7" t="s">
        <v>176</v>
      </c>
      <c r="E832" s="7" t="s">
        <v>177</v>
      </c>
      <c r="F832" s="7" t="s">
        <v>72</v>
      </c>
      <c r="G832" s="7" t="s">
        <v>49</v>
      </c>
      <c r="H832" s="7" t="s">
        <v>58</v>
      </c>
      <c r="I832" s="7" t="s">
        <v>51</v>
      </c>
      <c r="J832" s="7" t="n">
        <v>6</v>
      </c>
      <c r="K832" s="8" t="n">
        <v>3969</v>
      </c>
      <c r="L832" s="9" t="n">
        <v>0.05</v>
      </c>
      <c r="M832" s="8" t="n">
        <v>12887.82</v>
      </c>
      <c r="N832" s="8" t="n">
        <f aca="false">J832*K832*(1-L832)</f>
        <v>22623.3</v>
      </c>
      <c r="O832" s="8" t="n">
        <f aca="false">N832-M832</f>
        <v>9735.48</v>
      </c>
      <c r="P832" s="10" t="n">
        <f aca="false">IFERROR(O832/N832,0)</f>
        <v>0.430329792735808</v>
      </c>
      <c r="Q832" s="7" t="str">
        <f aca="false">TEXT(B832,"mmm")</f>
        <v>Oct</v>
      </c>
      <c r="R832" s="7" t="str">
        <f aca="false">TEXT(B832,"yyyy-mm")</f>
        <v>2024-10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1487</v>
      </c>
      <c r="B1" s="1"/>
      <c r="C1" s="1"/>
    </row>
    <row r="3" customFormat="false" ht="15" hidden="false" customHeight="false" outlineLevel="0" collapsed="false">
      <c r="A3" s="3" t="s">
        <v>1488</v>
      </c>
      <c r="B3" s="3" t="s">
        <v>1489</v>
      </c>
    </row>
    <row r="4" customFormat="false" ht="15" hidden="false" customHeight="false" outlineLevel="0" collapsed="false">
      <c r="A4" s="11" t="s">
        <v>1490</v>
      </c>
      <c r="B4" s="12" t="n">
        <f aca="false">SUM(Orders_Clean!$N$2:$N$832)</f>
        <v>11444763.05</v>
      </c>
    </row>
    <row r="5" customFormat="false" ht="15" hidden="false" customHeight="false" outlineLevel="0" collapsed="false">
      <c r="A5" s="11" t="s">
        <v>1491</v>
      </c>
      <c r="B5" s="12" t="n">
        <f aca="false">SUM(Orders_Clean!$O$2:$O$832)</f>
        <v>4567009.33</v>
      </c>
    </row>
    <row r="6" customFormat="false" ht="15" hidden="false" customHeight="false" outlineLevel="0" collapsed="false">
      <c r="A6" s="11" t="s">
        <v>1492</v>
      </c>
      <c r="B6" s="12" t="n">
        <f aca="false">COUNTA(Orders_Clean!$A$2:$A$832)</f>
        <v>831</v>
      </c>
    </row>
    <row r="7" customFormat="false" ht="15" hidden="false" customHeight="false" outlineLevel="0" collapsed="false">
      <c r="A7" s="11" t="s">
        <v>1493</v>
      </c>
      <c r="B7" s="12" t="n">
        <f aca="false">SUM(Orders_Clean!$J$2:$J$832)</f>
        <v>3440</v>
      </c>
    </row>
    <row r="8" customFormat="false" ht="15" hidden="false" customHeight="false" outlineLevel="0" collapsed="false">
      <c r="A8" s="11" t="s">
        <v>1494</v>
      </c>
      <c r="B8" s="13" t="n">
        <f aca="false">B4/B6</f>
        <v>13772.2780385078</v>
      </c>
    </row>
    <row r="9" customFormat="false" ht="15" hidden="false" customHeight="false" outlineLevel="0" collapsed="false">
      <c r="A9" s="11" t="s">
        <v>1495</v>
      </c>
      <c r="B9" s="14" t="n">
        <f aca="false">B5/B4</f>
        <v>0.399047958445937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1496</v>
      </c>
      <c r="B1" s="1"/>
      <c r="C1" s="1"/>
      <c r="D1" s="1"/>
      <c r="E1" s="1"/>
    </row>
    <row r="3" customFormat="false" ht="15" hidden="false" customHeight="false" outlineLevel="0" collapsed="false">
      <c r="A3" s="3" t="s">
        <v>30</v>
      </c>
      <c r="B3" s="3" t="s">
        <v>38</v>
      </c>
      <c r="C3" s="3" t="s">
        <v>39</v>
      </c>
      <c r="D3" s="3" t="s">
        <v>1497</v>
      </c>
      <c r="E3" s="3" t="s">
        <v>1498</v>
      </c>
    </row>
    <row r="4" customFormat="false" ht="15" hidden="false" customHeight="false" outlineLevel="0" collapsed="false">
      <c r="A4" s="15" t="s">
        <v>88</v>
      </c>
      <c r="B4" s="13" t="n">
        <f aca="false">SUMIF(Orders_Clean!$F$2:$F$832,A4,Orders_Clean!$N$2:$N$832)</f>
        <v>2298901.7</v>
      </c>
      <c r="C4" s="13" t="n">
        <f aca="false">SUMIF(Orders_Clean!$F$2:$F$832,A4,Orders_Clean!$O$2:$O$832)</f>
        <v>806720.57</v>
      </c>
      <c r="D4" s="14" t="n">
        <f aca="false">IFERROR(C4/B4,0)</f>
        <v>0.350915643761541</v>
      </c>
      <c r="E4" s="13" t="n">
        <f aca="false">SUMIF(Orders_Clean!$F$2:$F$832,A4,Orders_Clean!$J$2:$J$832)</f>
        <v>720</v>
      </c>
    </row>
    <row r="5" customFormat="false" ht="15" hidden="false" customHeight="false" outlineLevel="0" collapsed="false">
      <c r="A5" s="15" t="s">
        <v>57</v>
      </c>
      <c r="B5" s="13" t="n">
        <f aca="false">SUMIF(Orders_Clean!$F$2:$F$832,A5,Orders_Clean!$N$2:$N$832)</f>
        <v>1921388.4</v>
      </c>
      <c r="C5" s="13" t="n">
        <f aca="false">SUMIF(Orders_Clean!$F$2:$F$832,A5,Orders_Clean!$O$2:$O$832)</f>
        <v>673445.68</v>
      </c>
      <c r="D5" s="14" t="n">
        <f aca="false">IFERROR(C5/B5,0)</f>
        <v>0.350499503379952</v>
      </c>
      <c r="E5" s="13" t="n">
        <f aca="false">SUMIF(Orders_Clean!$F$2:$F$832,A5,Orders_Clean!$J$2:$J$832)</f>
        <v>655</v>
      </c>
    </row>
    <row r="6" customFormat="false" ht="15" hidden="false" customHeight="false" outlineLevel="0" collapsed="false">
      <c r="A6" s="15" t="s">
        <v>64</v>
      </c>
      <c r="B6" s="13" t="n">
        <f aca="false">SUMIF(Orders_Clean!$F$2:$F$832,A6,Orders_Clean!$N$2:$N$832)</f>
        <v>2278983.65</v>
      </c>
      <c r="C6" s="13" t="n">
        <f aca="false">SUMIF(Orders_Clean!$F$2:$F$832,A6,Orders_Clean!$O$2:$O$832)</f>
        <v>1015170.9</v>
      </c>
      <c r="D6" s="14" t="n">
        <f aca="false">IFERROR(C6/B6,0)</f>
        <v>0.445448961426292</v>
      </c>
      <c r="E6" s="13" t="n">
        <f aca="false">SUMIF(Orders_Clean!$F$2:$F$832,A6,Orders_Clean!$J$2:$J$832)</f>
        <v>725</v>
      </c>
    </row>
    <row r="7" customFormat="false" ht="15" hidden="false" customHeight="false" outlineLevel="0" collapsed="false">
      <c r="A7" s="15" t="s">
        <v>48</v>
      </c>
      <c r="B7" s="13" t="n">
        <f aca="false">SUMIF(Orders_Clean!$F$2:$F$832,A7,Orders_Clean!$N$2:$N$832)</f>
        <v>1938977.85</v>
      </c>
      <c r="C7" s="13" t="n">
        <f aca="false">SUMIF(Orders_Clean!$F$2:$F$832,A7,Orders_Clean!$O$2:$O$832)</f>
        <v>841128.21</v>
      </c>
      <c r="D7" s="14" t="n">
        <f aca="false">IFERROR(C7/B7,0)</f>
        <v>0.433799803334525</v>
      </c>
      <c r="E7" s="13" t="n">
        <f aca="false">SUMIF(Orders_Clean!$F$2:$F$832,A7,Orders_Clean!$J$2:$J$832)</f>
        <v>646</v>
      </c>
    </row>
    <row r="8" customFormat="false" ht="15" hidden="false" customHeight="false" outlineLevel="0" collapsed="false">
      <c r="A8" s="15" t="s">
        <v>72</v>
      </c>
      <c r="B8" s="13" t="n">
        <f aca="false">SUMIF(Orders_Clean!$F$2:$F$832,A8,Orders_Clean!$N$2:$N$832)</f>
        <v>3006511.45</v>
      </c>
      <c r="C8" s="13" t="n">
        <f aca="false">SUMIF(Orders_Clean!$F$2:$F$832,A8,Orders_Clean!$O$2:$O$832)</f>
        <v>1230543.97</v>
      </c>
      <c r="D8" s="14" t="n">
        <f aca="false">IFERROR(C8/B8,0)</f>
        <v>0.409292959785668</v>
      </c>
      <c r="E8" s="13" t="n">
        <f aca="false">SUMIF(Orders_Clean!$F$2:$F$832,A8,Orders_Clean!$J$2:$J$832)</f>
        <v>694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1499</v>
      </c>
      <c r="B1" s="1"/>
      <c r="C1" s="1"/>
      <c r="D1" s="1"/>
      <c r="E1" s="1"/>
    </row>
    <row r="3" customFormat="false" ht="15" hidden="false" customHeight="false" outlineLevel="0" collapsed="false">
      <c r="A3" s="3" t="s">
        <v>31</v>
      </c>
      <c r="B3" s="3" t="s">
        <v>38</v>
      </c>
      <c r="C3" s="3" t="s">
        <v>39</v>
      </c>
      <c r="D3" s="3" t="s">
        <v>1497</v>
      </c>
      <c r="E3" s="3" t="s">
        <v>1498</v>
      </c>
    </row>
    <row r="4" customFormat="false" ht="15" hidden="false" customHeight="false" outlineLevel="0" collapsed="false">
      <c r="A4" s="15" t="s">
        <v>81</v>
      </c>
      <c r="B4" s="13" t="n">
        <f aca="false">SUMIF(Orders_Clean!$G$2:$G$832,A4,Orders_Clean!$N$2:$N$832)</f>
        <v>2876056</v>
      </c>
      <c r="C4" s="13" t="n">
        <f aca="false">SUMIF(Orders_Clean!$G$2:$G$832,A4,Orders_Clean!$O$2:$O$832)</f>
        <v>1200664.85</v>
      </c>
      <c r="D4" s="14" t="n">
        <f aca="false">IFERROR(C4/B4,0)</f>
        <v>0.417469218262788</v>
      </c>
      <c r="E4" s="13" t="n">
        <f aca="false">SUMIF(Orders_Clean!$G$2:$G$832,A4,Orders_Clean!$J$2:$J$832)</f>
        <v>836</v>
      </c>
    </row>
    <row r="5" customFormat="false" ht="15" hidden="false" customHeight="false" outlineLevel="0" collapsed="false">
      <c r="A5" s="15" t="s">
        <v>65</v>
      </c>
      <c r="B5" s="13" t="n">
        <f aca="false">SUMIF(Orders_Clean!$G$2:$G$832,A5,Orders_Clean!$N$2:$N$832)</f>
        <v>2492916.25</v>
      </c>
      <c r="C5" s="13" t="n">
        <f aca="false">SUMIF(Orders_Clean!$G$2:$G$832,A5,Orders_Clean!$O$2:$O$832)</f>
        <v>978532.16</v>
      </c>
      <c r="D5" s="14" t="n">
        <f aca="false">IFERROR(C5/B5,0)</f>
        <v>0.392525083825018</v>
      </c>
      <c r="E5" s="13" t="n">
        <f aca="false">SUMIF(Orders_Clean!$G$2:$G$832,A5,Orders_Clean!$J$2:$J$832)</f>
        <v>768</v>
      </c>
    </row>
    <row r="6" customFormat="false" ht="15" hidden="false" customHeight="false" outlineLevel="0" collapsed="false">
      <c r="A6" s="15" t="s">
        <v>73</v>
      </c>
      <c r="B6" s="13" t="n">
        <f aca="false">SUMIF(Orders_Clean!$G$2:$G$832,A6,Orders_Clean!$N$2:$N$832)</f>
        <v>3011318.8</v>
      </c>
      <c r="C6" s="13" t="n">
        <f aca="false">SUMIF(Orders_Clean!$G$2:$G$832,A6,Orders_Clean!$O$2:$O$832)</f>
        <v>1227124.67</v>
      </c>
      <c r="D6" s="14" t="n">
        <f aca="false">IFERROR(C6/B6,0)</f>
        <v>0.407504070973821</v>
      </c>
      <c r="E6" s="13" t="n">
        <f aca="false">SUMIF(Orders_Clean!$G$2:$G$832,A6,Orders_Clean!$J$2:$J$832)</f>
        <v>913</v>
      </c>
    </row>
    <row r="7" customFormat="false" ht="15" hidden="false" customHeight="false" outlineLevel="0" collapsed="false">
      <c r="A7" s="15" t="s">
        <v>336</v>
      </c>
      <c r="B7" s="13" t="n">
        <f aca="false">SUMIF(Orders_Clean!$G$2:$G$832,A7,Orders_Clean!$N$2:$N$832)</f>
        <v>60644.9</v>
      </c>
      <c r="C7" s="13" t="n">
        <f aca="false">SUMIF(Orders_Clean!$G$2:$G$832,A7,Orders_Clean!$O$2:$O$832)</f>
        <v>29397.42</v>
      </c>
      <c r="D7" s="14" t="n">
        <f aca="false">IFERROR(C7/B7,0)</f>
        <v>0.48474678002602</v>
      </c>
      <c r="E7" s="13" t="n">
        <f aca="false">SUMIF(Orders_Clean!$G$2:$G$832,A7,Orders_Clean!$J$2:$J$832)</f>
        <v>19</v>
      </c>
    </row>
    <row r="8" customFormat="false" ht="15" hidden="false" customHeight="false" outlineLevel="0" collapsed="false">
      <c r="A8" s="15" t="s">
        <v>49</v>
      </c>
      <c r="B8" s="13" t="n">
        <f aca="false">SUMIF(Orders_Clean!$G$2:$G$832,A8,Orders_Clean!$N$2:$N$832)</f>
        <v>3003827.1</v>
      </c>
      <c r="C8" s="13" t="n">
        <f aca="false">SUMIF(Orders_Clean!$G$2:$G$832,A8,Orders_Clean!$O$2:$O$832)</f>
        <v>1131290.23</v>
      </c>
      <c r="D8" s="14" t="n">
        <f aca="false">IFERROR(C8/B8,0)</f>
        <v>0.37661629392717</v>
      </c>
      <c r="E8" s="13" t="n">
        <f aca="false">SUMIF(Orders_Clean!$G$2:$G$832,A8,Orders_Clean!$J$2:$J$832)</f>
        <v>904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1500</v>
      </c>
      <c r="B1" s="1"/>
      <c r="C1" s="1"/>
      <c r="D1" s="1"/>
      <c r="E1" s="1"/>
    </row>
    <row r="3" customFormat="false" ht="15" hidden="false" customHeight="false" outlineLevel="0" collapsed="false">
      <c r="A3" s="16" t="s">
        <v>1501</v>
      </c>
    </row>
    <row r="4" customFormat="false" ht="15" hidden="false" customHeight="false" outlineLevel="0" collapsed="false">
      <c r="A4" s="3" t="s">
        <v>1502</v>
      </c>
      <c r="B4" s="3" t="s">
        <v>38</v>
      </c>
      <c r="C4" s="3" t="s">
        <v>39</v>
      </c>
      <c r="D4" s="3" t="s">
        <v>1497</v>
      </c>
      <c r="E4" s="3" t="s">
        <v>1498</v>
      </c>
    </row>
    <row r="5" customFormat="false" ht="15" hidden="false" customHeight="false" outlineLevel="0" collapsed="false">
      <c r="A5" s="15" t="s">
        <v>63</v>
      </c>
      <c r="B5" s="13" t="n">
        <f aca="false">SUMIF(Orders_Clean!$E$2:$E$832,A5,Orders_Clean!$N$2:$N$832)</f>
        <v>739755.5</v>
      </c>
      <c r="C5" s="13" t="n">
        <f aca="false">SUMIF(Orders_Clean!$E$2:$E$832,A5,Orders_Clean!$O$2:$O$832)</f>
        <v>427420.58</v>
      </c>
      <c r="D5" s="14" t="n">
        <f aca="false">IFERROR(C5/B5,0)</f>
        <v>0.57778628208915</v>
      </c>
      <c r="E5" s="13" t="n">
        <f aca="false">SUMIF(Orders_Clean!$E$2:$E$832,A5,Orders_Clean!$J$2:$J$832)</f>
        <v>114</v>
      </c>
    </row>
    <row r="6" customFormat="false" ht="15" hidden="false" customHeight="false" outlineLevel="0" collapsed="false">
      <c r="A6" s="15" t="s">
        <v>131</v>
      </c>
      <c r="B6" s="13" t="n">
        <f aca="false">SUMIF(Orders_Clean!$E$2:$E$832,A6,Orders_Clean!$N$2:$N$832)</f>
        <v>694717.05</v>
      </c>
      <c r="C6" s="13" t="n">
        <f aca="false">SUMIF(Orders_Clean!$E$2:$E$832,A6,Orders_Clean!$O$2:$O$832)</f>
        <v>350728.22</v>
      </c>
      <c r="D6" s="14" t="n">
        <f aca="false">IFERROR(C6/B6,0)</f>
        <v>0.504850456743504</v>
      </c>
      <c r="E6" s="13" t="n">
        <f aca="false">SUMIF(Orders_Clean!$E$2:$E$832,A6,Orders_Clean!$J$2:$J$832)</f>
        <v>101</v>
      </c>
    </row>
    <row r="7" customFormat="false" ht="15" hidden="false" customHeight="false" outlineLevel="0" collapsed="false">
      <c r="A7" s="15" t="s">
        <v>150</v>
      </c>
      <c r="B7" s="13" t="n">
        <f aca="false">SUMIF(Orders_Clean!$E$2:$E$832,A7,Orders_Clean!$N$2:$N$832)</f>
        <v>625758.1</v>
      </c>
      <c r="C7" s="13" t="n">
        <f aca="false">SUMIF(Orders_Clean!$E$2:$E$832,A7,Orders_Clean!$O$2:$O$832)</f>
        <v>143994.58</v>
      </c>
      <c r="D7" s="14" t="n">
        <f aca="false">IFERROR(C7/B7,0)</f>
        <v>0.230112211092433</v>
      </c>
      <c r="E7" s="13" t="n">
        <f aca="false">SUMIF(Orders_Clean!$E$2:$E$832,A7,Orders_Clean!$J$2:$J$832)</f>
        <v>138</v>
      </c>
    </row>
    <row r="8" customFormat="false" ht="15" hidden="false" customHeight="false" outlineLevel="0" collapsed="false">
      <c r="A8" s="15" t="s">
        <v>261</v>
      </c>
      <c r="B8" s="13" t="n">
        <f aca="false">SUMIF(Orders_Clean!$E$2:$E$832,A8,Orders_Clean!$N$2:$N$832)</f>
        <v>511563.15</v>
      </c>
      <c r="C8" s="13" t="n">
        <f aca="false">SUMIF(Orders_Clean!$E$2:$E$832,A8,Orders_Clean!$O$2:$O$832)</f>
        <v>236551.66</v>
      </c>
      <c r="D8" s="14" t="n">
        <f aca="false">IFERROR(C8/B8,0)</f>
        <v>0.462409499198682</v>
      </c>
      <c r="E8" s="13" t="n">
        <f aca="false">SUMIF(Orders_Clean!$E$2:$E$832,A8,Orders_Clean!$J$2:$J$832)</f>
        <v>113</v>
      </c>
    </row>
    <row r="9" customFormat="false" ht="15" hidden="false" customHeight="false" outlineLevel="0" collapsed="false">
      <c r="A9" s="15" t="s">
        <v>171</v>
      </c>
      <c r="B9" s="13" t="n">
        <f aca="false">SUMIF(Orders_Clean!$E$2:$E$832,A9,Orders_Clean!$N$2:$N$832)</f>
        <v>450721.6</v>
      </c>
      <c r="C9" s="13" t="n">
        <f aca="false">SUMIF(Orders_Clean!$E$2:$E$832,A9,Orders_Clean!$O$2:$O$832)</f>
        <v>166527.7</v>
      </c>
      <c r="D9" s="14" t="n">
        <f aca="false">IFERROR(C9/B9,0)</f>
        <v>0.369469091341529</v>
      </c>
      <c r="E9" s="13" t="n">
        <f aca="false">SUMIF(Orders_Clean!$E$2:$E$832,A9,Orders_Clean!$J$2:$J$832)</f>
        <v>90</v>
      </c>
    </row>
    <row r="10" customFormat="false" ht="15" hidden="false" customHeight="false" outlineLevel="0" collapsed="false">
      <c r="A10" s="15" t="s">
        <v>163</v>
      </c>
      <c r="B10" s="13" t="n">
        <f aca="false">SUMIF(Orders_Clean!$E$2:$E$832,A10,Orders_Clean!$N$2:$N$832)</f>
        <v>442300.95</v>
      </c>
      <c r="C10" s="13" t="n">
        <f aca="false">SUMIF(Orders_Clean!$E$2:$E$832,A10,Orders_Clean!$O$2:$O$832)</f>
        <v>231163.27</v>
      </c>
      <c r="D10" s="14" t="n">
        <f aca="false">IFERROR(C10/B10,0)</f>
        <v>0.522637968559642</v>
      </c>
      <c r="E10" s="13" t="n">
        <f aca="false">SUMIF(Orders_Clean!$E$2:$E$832,A10,Orders_Clean!$J$2:$J$832)</f>
        <v>104</v>
      </c>
    </row>
    <row r="11" customFormat="false" ht="15" hidden="false" customHeight="false" outlineLevel="0" collapsed="false">
      <c r="A11" s="15" t="s">
        <v>136</v>
      </c>
      <c r="B11" s="13" t="n">
        <f aca="false">SUMIF(Orders_Clean!$E$2:$E$832,A11,Orders_Clean!$N$2:$N$832)</f>
        <v>438961.05</v>
      </c>
      <c r="C11" s="13" t="n">
        <f aca="false">SUMIF(Orders_Clean!$E$2:$E$832,A11,Orders_Clean!$O$2:$O$832)</f>
        <v>187896.33</v>
      </c>
      <c r="D11" s="14" t="n">
        <f aca="false">IFERROR(C11/B11,0)</f>
        <v>0.428047841602347</v>
      </c>
      <c r="E11" s="13" t="n">
        <f aca="false">SUMIF(Orders_Clean!$E$2:$E$832,A11,Orders_Clean!$J$2:$J$832)</f>
        <v>72</v>
      </c>
    </row>
    <row r="12" customFormat="false" ht="15" hidden="false" customHeight="false" outlineLevel="0" collapsed="false">
      <c r="A12" s="15" t="s">
        <v>47</v>
      </c>
      <c r="B12" s="13" t="n">
        <f aca="false">SUMIF(Orders_Clean!$E$2:$E$832,A12,Orders_Clean!$N$2:$N$832)</f>
        <v>426854.35</v>
      </c>
      <c r="C12" s="13" t="n">
        <f aca="false">SUMIF(Orders_Clean!$E$2:$E$832,A12,Orders_Clean!$O$2:$O$832)</f>
        <v>163044.73</v>
      </c>
      <c r="D12" s="14" t="n">
        <f aca="false">IFERROR(C12/B12,0)</f>
        <v>0.381968064750892</v>
      </c>
      <c r="E12" s="13" t="n">
        <f aca="false">SUMIF(Orders_Clean!$E$2:$E$832,A12,Orders_Clean!$J$2:$J$832)</f>
        <v>106</v>
      </c>
    </row>
    <row r="13" customFormat="false" ht="15" hidden="false" customHeight="false" outlineLevel="0" collapsed="false">
      <c r="A13" s="15" t="s">
        <v>228</v>
      </c>
      <c r="B13" s="13" t="n">
        <f aca="false">SUMIF(Orders_Clean!$E$2:$E$832,A13,Orders_Clean!$N$2:$N$832)</f>
        <v>426285.9</v>
      </c>
      <c r="C13" s="13" t="n">
        <f aca="false">SUMIF(Orders_Clean!$E$2:$E$832,A13,Orders_Clean!$O$2:$O$832)</f>
        <v>172910.14</v>
      </c>
      <c r="D13" s="14" t="n">
        <f aca="false">IFERROR(C13/B13,0)</f>
        <v>0.405620124897399</v>
      </c>
      <c r="E13" s="13" t="n">
        <f aca="false">SUMIF(Orders_Clean!$E$2:$E$832,A13,Orders_Clean!$J$2:$J$832)</f>
        <v>83</v>
      </c>
    </row>
    <row r="14" customFormat="false" ht="15" hidden="false" customHeight="false" outlineLevel="0" collapsed="false">
      <c r="A14" s="15" t="s">
        <v>177</v>
      </c>
      <c r="B14" s="13" t="n">
        <f aca="false">SUMIF(Orders_Clean!$E$2:$E$832,A14,Orders_Clean!$N$2:$N$832)</f>
        <v>425476.8</v>
      </c>
      <c r="C14" s="13" t="n">
        <f aca="false">SUMIF(Orders_Clean!$E$2:$E$832,A14,Orders_Clean!$O$2:$O$832)</f>
        <v>178460.25</v>
      </c>
      <c r="D14" s="14" t="n">
        <f aca="false">IFERROR(C14/B14,0)</f>
        <v>0.419435912839431</v>
      </c>
      <c r="E14" s="13" t="n">
        <f aca="false">SUMIF(Orders_Clean!$E$2:$E$832,A14,Orders_Clean!$J$2:$J$832)</f>
        <v>115</v>
      </c>
    </row>
    <row r="16" customFormat="false" ht="15" hidden="false" customHeight="false" outlineLevel="0" collapsed="false">
      <c r="A16" s="16" t="s">
        <v>1503</v>
      </c>
    </row>
    <row r="17" customFormat="false" ht="15" hidden="false" customHeight="false" outlineLevel="0" collapsed="false">
      <c r="A17" s="3" t="s">
        <v>1502</v>
      </c>
      <c r="B17" s="3" t="s">
        <v>38</v>
      </c>
      <c r="C17" s="3" t="s">
        <v>39</v>
      </c>
      <c r="D17" s="3" t="s">
        <v>1497</v>
      </c>
      <c r="E17" s="3" t="s">
        <v>1498</v>
      </c>
    </row>
    <row r="18" customFormat="false" ht="15" hidden="false" customHeight="false" outlineLevel="0" collapsed="false">
      <c r="A18" s="15" t="s">
        <v>63</v>
      </c>
      <c r="B18" s="13" t="n">
        <f aca="false">SUMIF(Orders_Clean!$E$2:$E$832,A18,Orders_Clean!$N$2:$N$832)</f>
        <v>739755.5</v>
      </c>
      <c r="C18" s="13" t="n">
        <f aca="false">SUMIF(Orders_Clean!$E$2:$E$832,A18,Orders_Clean!$O$2:$O$832)</f>
        <v>427420.58</v>
      </c>
      <c r="D18" s="14" t="n">
        <f aca="false">IFERROR(C18/B18,0)</f>
        <v>0.57778628208915</v>
      </c>
      <c r="E18" s="13" t="n">
        <f aca="false">SUMIF(Orders_Clean!$E$2:$E$832,A18,Orders_Clean!$J$2:$J$832)</f>
        <v>114</v>
      </c>
    </row>
    <row r="19" customFormat="false" ht="15" hidden="false" customHeight="false" outlineLevel="0" collapsed="false">
      <c r="A19" s="15" t="s">
        <v>131</v>
      </c>
      <c r="B19" s="13" t="n">
        <f aca="false">SUMIF(Orders_Clean!$E$2:$E$832,A19,Orders_Clean!$N$2:$N$832)</f>
        <v>694717.05</v>
      </c>
      <c r="C19" s="13" t="n">
        <f aca="false">SUMIF(Orders_Clean!$E$2:$E$832,A19,Orders_Clean!$O$2:$O$832)</f>
        <v>350728.22</v>
      </c>
      <c r="D19" s="14" t="n">
        <f aca="false">IFERROR(C19/B19,0)</f>
        <v>0.504850456743504</v>
      </c>
      <c r="E19" s="13" t="n">
        <f aca="false">SUMIF(Orders_Clean!$E$2:$E$832,A19,Orders_Clean!$J$2:$J$832)</f>
        <v>101</v>
      </c>
    </row>
    <row r="20" customFormat="false" ht="15" hidden="false" customHeight="false" outlineLevel="0" collapsed="false">
      <c r="A20" s="15" t="s">
        <v>261</v>
      </c>
      <c r="B20" s="13" t="n">
        <f aca="false">SUMIF(Orders_Clean!$E$2:$E$832,A20,Orders_Clean!$N$2:$N$832)</f>
        <v>511563.15</v>
      </c>
      <c r="C20" s="13" t="n">
        <f aca="false">SUMIF(Orders_Clean!$E$2:$E$832,A20,Orders_Clean!$O$2:$O$832)</f>
        <v>236551.66</v>
      </c>
      <c r="D20" s="14" t="n">
        <f aca="false">IFERROR(C20/B20,0)</f>
        <v>0.462409499198682</v>
      </c>
      <c r="E20" s="13" t="n">
        <f aca="false">SUMIF(Orders_Clean!$E$2:$E$832,A20,Orders_Clean!$J$2:$J$832)</f>
        <v>113</v>
      </c>
    </row>
    <row r="21" customFormat="false" ht="15" hidden="false" customHeight="false" outlineLevel="0" collapsed="false">
      <c r="A21" s="15" t="s">
        <v>163</v>
      </c>
      <c r="B21" s="13" t="n">
        <f aca="false">SUMIF(Orders_Clean!$E$2:$E$832,A21,Orders_Clean!$N$2:$N$832)</f>
        <v>442300.95</v>
      </c>
      <c r="C21" s="13" t="n">
        <f aca="false">SUMIF(Orders_Clean!$E$2:$E$832,A21,Orders_Clean!$O$2:$O$832)</f>
        <v>231163.27</v>
      </c>
      <c r="D21" s="14" t="n">
        <f aca="false">IFERROR(C21/B21,0)</f>
        <v>0.522637968559642</v>
      </c>
      <c r="E21" s="13" t="n">
        <f aca="false">SUMIF(Orders_Clean!$E$2:$E$832,A21,Orders_Clean!$J$2:$J$832)</f>
        <v>104</v>
      </c>
    </row>
    <row r="22" customFormat="false" ht="15" hidden="false" customHeight="false" outlineLevel="0" collapsed="false">
      <c r="A22" s="15" t="s">
        <v>145</v>
      </c>
      <c r="B22" s="13" t="n">
        <f aca="false">SUMIF(Orders_Clean!$E$2:$E$832,A22,Orders_Clean!$N$2:$N$832)</f>
        <v>422218</v>
      </c>
      <c r="C22" s="13" t="n">
        <f aca="false">SUMIF(Orders_Clean!$E$2:$E$832,A22,Orders_Clean!$O$2:$O$832)</f>
        <v>222349.84</v>
      </c>
      <c r="D22" s="14" t="n">
        <f aca="false">IFERROR(C22/B22,0)</f>
        <v>0.526623308338347</v>
      </c>
      <c r="E22" s="13" t="n">
        <f aca="false">SUMIF(Orders_Clean!$E$2:$E$832,A22,Orders_Clean!$J$2:$J$832)</f>
        <v>92</v>
      </c>
    </row>
    <row r="23" customFormat="false" ht="15" hidden="false" customHeight="false" outlineLevel="0" collapsed="false">
      <c r="A23" s="15" t="s">
        <v>136</v>
      </c>
      <c r="B23" s="13" t="n">
        <f aca="false">SUMIF(Orders_Clean!$E$2:$E$832,A23,Orders_Clean!$N$2:$N$832)</f>
        <v>438961.05</v>
      </c>
      <c r="C23" s="13" t="n">
        <f aca="false">SUMIF(Orders_Clean!$E$2:$E$832,A23,Orders_Clean!$O$2:$O$832)</f>
        <v>187896.33</v>
      </c>
      <c r="D23" s="14" t="n">
        <f aca="false">IFERROR(C23/B23,0)</f>
        <v>0.428047841602347</v>
      </c>
      <c r="E23" s="13" t="n">
        <f aca="false">SUMIF(Orders_Clean!$E$2:$E$832,A23,Orders_Clean!$J$2:$J$832)</f>
        <v>72</v>
      </c>
    </row>
    <row r="24" customFormat="false" ht="15" hidden="false" customHeight="false" outlineLevel="0" collapsed="false">
      <c r="A24" s="15" t="s">
        <v>424</v>
      </c>
      <c r="B24" s="13" t="n">
        <f aca="false">SUMIF(Orders_Clean!$E$2:$E$832,A24,Orders_Clean!$N$2:$N$832)</f>
        <v>317457</v>
      </c>
      <c r="C24" s="13" t="n">
        <f aca="false">SUMIF(Orders_Clean!$E$2:$E$832,A24,Orders_Clean!$O$2:$O$832)</f>
        <v>183158.16</v>
      </c>
      <c r="D24" s="14" t="n">
        <f aca="false">IFERROR(C24/B24,0)</f>
        <v>0.576954233171737</v>
      </c>
      <c r="E24" s="13" t="n">
        <f aca="false">SUMIF(Orders_Clean!$E$2:$E$832,A24,Orders_Clean!$J$2:$J$832)</f>
        <v>69</v>
      </c>
    </row>
    <row r="25" customFormat="false" ht="15" hidden="false" customHeight="false" outlineLevel="0" collapsed="false">
      <c r="A25" s="15" t="s">
        <v>177</v>
      </c>
      <c r="B25" s="13" t="n">
        <f aca="false">SUMIF(Orders_Clean!$E$2:$E$832,A25,Orders_Clean!$N$2:$N$832)</f>
        <v>425476.8</v>
      </c>
      <c r="C25" s="13" t="n">
        <f aca="false">SUMIF(Orders_Clean!$E$2:$E$832,A25,Orders_Clean!$O$2:$O$832)</f>
        <v>178460.25</v>
      </c>
      <c r="D25" s="14" t="n">
        <f aca="false">IFERROR(C25/B25,0)</f>
        <v>0.419435912839431</v>
      </c>
      <c r="E25" s="13" t="n">
        <f aca="false">SUMIF(Orders_Clean!$E$2:$E$832,A25,Orders_Clean!$J$2:$J$832)</f>
        <v>115</v>
      </c>
    </row>
    <row r="26" customFormat="false" ht="15" hidden="false" customHeight="false" outlineLevel="0" collapsed="false">
      <c r="A26" s="15" t="s">
        <v>182</v>
      </c>
      <c r="B26" s="13" t="n">
        <f aca="false">SUMIF(Orders_Clean!$E$2:$E$832,A26,Orders_Clean!$N$2:$N$832)</f>
        <v>340939.55</v>
      </c>
      <c r="C26" s="13" t="n">
        <f aca="false">SUMIF(Orders_Clean!$E$2:$E$832,A26,Orders_Clean!$O$2:$O$832)</f>
        <v>174716.1</v>
      </c>
      <c r="D26" s="14" t="n">
        <f aca="false">IFERROR(C26/B26,0)</f>
        <v>0.512454773874137</v>
      </c>
      <c r="E26" s="13" t="n">
        <f aca="false">SUMIF(Orders_Clean!$E$2:$E$832,A26,Orders_Clean!$J$2:$J$832)</f>
        <v>85</v>
      </c>
    </row>
    <row r="27" customFormat="false" ht="15" hidden="false" customHeight="false" outlineLevel="0" collapsed="false">
      <c r="A27" s="15" t="s">
        <v>228</v>
      </c>
      <c r="B27" s="13" t="n">
        <f aca="false">SUMIF(Orders_Clean!$E$2:$E$832,A27,Orders_Clean!$N$2:$N$832)</f>
        <v>426285.9</v>
      </c>
      <c r="C27" s="13" t="n">
        <f aca="false">SUMIF(Orders_Clean!$E$2:$E$832,A27,Orders_Clean!$O$2:$O$832)</f>
        <v>172910.14</v>
      </c>
      <c r="D27" s="14" t="n">
        <f aca="false">IFERROR(C27/B27,0)</f>
        <v>0.405620124897399</v>
      </c>
      <c r="E27" s="13" t="n">
        <f aca="false">SUMIF(Orders_Clean!$E$2:$E$832,A27,Orders_Clean!$J$2:$J$832)</f>
        <v>83</v>
      </c>
    </row>
    <row r="29" customFormat="false" ht="15" hidden="false" customHeight="false" outlineLevel="0" collapsed="false">
      <c r="A29" s="16" t="s">
        <v>1504</v>
      </c>
    </row>
    <row r="30" customFormat="false" ht="15" hidden="false" customHeight="false" outlineLevel="0" collapsed="false">
      <c r="A30" s="3" t="s">
        <v>1502</v>
      </c>
      <c r="B30" s="3" t="s">
        <v>38</v>
      </c>
      <c r="C30" s="3" t="s">
        <v>39</v>
      </c>
      <c r="D30" s="3" t="s">
        <v>1497</v>
      </c>
      <c r="E30" s="3" t="s">
        <v>1498</v>
      </c>
    </row>
    <row r="31" customFormat="false" ht="15" hidden="false" customHeight="false" outlineLevel="0" collapsed="false">
      <c r="A31" s="15" t="s">
        <v>288</v>
      </c>
      <c r="B31" s="13" t="n">
        <f aca="false">SUMIF(Orders_Clean!$E$2:$E$832,A31,Orders_Clean!$N$2:$N$832)</f>
        <v>33305.75</v>
      </c>
      <c r="C31" s="13" t="n">
        <f aca="false">SUMIF(Orders_Clean!$E$2:$E$832,A31,Orders_Clean!$O$2:$O$832)</f>
        <v>9473.03</v>
      </c>
      <c r="D31" s="14" t="n">
        <f aca="false">IFERROR(C31/B31,0)</f>
        <v>0.284426262732411</v>
      </c>
      <c r="E31" s="13" t="n">
        <f aca="false">SUMIF(Orders_Clean!$E$2:$E$832,A31,Orders_Clean!$J$2:$J$832)</f>
        <v>36</v>
      </c>
    </row>
    <row r="32" customFormat="false" ht="15" hidden="false" customHeight="false" outlineLevel="0" collapsed="false">
      <c r="A32" s="15" t="s">
        <v>465</v>
      </c>
      <c r="B32" s="13" t="n">
        <f aca="false">SUMIF(Orders_Clean!$E$2:$E$832,A32,Orders_Clean!$N$2:$N$832)</f>
        <v>43785.2</v>
      </c>
      <c r="C32" s="13" t="n">
        <f aca="false">SUMIF(Orders_Clean!$E$2:$E$832,A32,Orders_Clean!$O$2:$O$832)</f>
        <v>17290.48</v>
      </c>
      <c r="D32" s="14" t="n">
        <f aca="false">IFERROR(C32/B32,0)</f>
        <v>0.394893251600998</v>
      </c>
      <c r="E32" s="13" t="n">
        <f aca="false">SUMIF(Orders_Clean!$E$2:$E$832,A32,Orders_Clean!$J$2:$J$832)</f>
        <v>64</v>
      </c>
    </row>
    <row r="33" customFormat="false" ht="15" hidden="false" customHeight="false" outlineLevel="0" collapsed="false">
      <c r="A33" s="15" t="s">
        <v>120</v>
      </c>
      <c r="B33" s="13" t="n">
        <f aca="false">SUMIF(Orders_Clean!$E$2:$E$832,A33,Orders_Clean!$N$2:$N$832)</f>
        <v>55738</v>
      </c>
      <c r="C33" s="13" t="n">
        <f aca="false">SUMIF(Orders_Clean!$E$2:$E$832,A33,Orders_Clean!$O$2:$O$832)</f>
        <v>9373.9</v>
      </c>
      <c r="D33" s="14" t="n">
        <f aca="false">IFERROR(C33/B33,0)</f>
        <v>0.168177903764039</v>
      </c>
      <c r="E33" s="13" t="n">
        <f aca="false">SUMIF(Orders_Clean!$E$2:$E$832,A33,Orders_Clean!$J$2:$J$832)</f>
        <v>102</v>
      </c>
    </row>
    <row r="34" customFormat="false" ht="15" hidden="false" customHeight="false" outlineLevel="0" collapsed="false">
      <c r="A34" s="15" t="s">
        <v>361</v>
      </c>
      <c r="B34" s="13" t="n">
        <f aca="false">SUMIF(Orders_Clean!$E$2:$E$832,A34,Orders_Clean!$N$2:$N$832)</f>
        <v>65285.85</v>
      </c>
      <c r="C34" s="13" t="n">
        <f aca="false">SUMIF(Orders_Clean!$E$2:$E$832,A34,Orders_Clean!$O$2:$O$832)</f>
        <v>14608.85</v>
      </c>
      <c r="D34" s="14" t="n">
        <f aca="false">IFERROR(C34/B34,0)</f>
        <v>0.223767477945068</v>
      </c>
      <c r="E34" s="13" t="n">
        <f aca="false">SUMIF(Orders_Clean!$E$2:$E$832,A34,Orders_Clean!$J$2:$J$832)</f>
        <v>110</v>
      </c>
    </row>
    <row r="35" customFormat="false" ht="15" hidden="false" customHeight="false" outlineLevel="0" collapsed="false">
      <c r="A35" s="15" t="s">
        <v>207</v>
      </c>
      <c r="B35" s="13" t="n">
        <f aca="false">SUMIF(Orders_Clean!$E$2:$E$832,A35,Orders_Clean!$N$2:$N$832)</f>
        <v>73573.5</v>
      </c>
      <c r="C35" s="13" t="n">
        <f aca="false">SUMIF(Orders_Clean!$E$2:$E$832,A35,Orders_Clean!$O$2:$O$832)</f>
        <v>23912.52</v>
      </c>
      <c r="D35" s="14" t="n">
        <f aca="false">IFERROR(C35/B35,0)</f>
        <v>0.325015392770495</v>
      </c>
      <c r="E35" s="13" t="n">
        <f aca="false">SUMIF(Orders_Clean!$E$2:$E$832,A35,Orders_Clean!$J$2:$J$832)</f>
        <v>79</v>
      </c>
    </row>
    <row r="36" customFormat="false" ht="15" hidden="false" customHeight="false" outlineLevel="0" collapsed="false">
      <c r="A36" s="15" t="s">
        <v>141</v>
      </c>
      <c r="B36" s="13" t="n">
        <f aca="false">SUMIF(Orders_Clean!$E$2:$E$832,A36,Orders_Clean!$N$2:$N$832)</f>
        <v>99144</v>
      </c>
      <c r="C36" s="13" t="n">
        <f aca="false">SUMIF(Orders_Clean!$E$2:$E$832,A36,Orders_Clean!$O$2:$O$832)</f>
        <v>26364.75</v>
      </c>
      <c r="D36" s="14" t="n">
        <f aca="false">IFERROR(C36/B36,0)</f>
        <v>0.265923807794723</v>
      </c>
      <c r="E36" s="13" t="n">
        <f aca="false">SUMIF(Orders_Clean!$E$2:$E$832,A36,Orders_Clean!$J$2:$J$832)</f>
        <v>75</v>
      </c>
    </row>
    <row r="37" customFormat="false" ht="15" hidden="false" customHeight="false" outlineLevel="0" collapsed="false">
      <c r="A37" s="15" t="s">
        <v>250</v>
      </c>
      <c r="B37" s="13" t="n">
        <f aca="false">SUMIF(Orders_Clean!$E$2:$E$832,A37,Orders_Clean!$N$2:$N$832)</f>
        <v>103713.5</v>
      </c>
      <c r="C37" s="13" t="n">
        <f aca="false">SUMIF(Orders_Clean!$E$2:$E$832,A37,Orders_Clean!$O$2:$O$832)</f>
        <v>44590.02</v>
      </c>
      <c r="D37" s="14" t="n">
        <f aca="false">IFERROR(C37/B37,0)</f>
        <v>0.429934579394197</v>
      </c>
      <c r="E37" s="13" t="n">
        <f aca="false">SUMIF(Orders_Clean!$E$2:$E$832,A37,Orders_Clean!$J$2:$J$832)</f>
        <v>67</v>
      </c>
    </row>
    <row r="38" customFormat="false" ht="15" hidden="false" customHeight="false" outlineLevel="0" collapsed="false">
      <c r="A38" s="15" t="s">
        <v>296</v>
      </c>
      <c r="B38" s="13" t="n">
        <f aca="false">SUMIF(Orders_Clean!$E$2:$E$832,A38,Orders_Clean!$N$2:$N$832)</f>
        <v>106102.55</v>
      </c>
      <c r="C38" s="13" t="n">
        <f aca="false">SUMIF(Orders_Clean!$E$2:$E$832,A38,Orders_Clean!$O$2:$O$832)</f>
        <v>18040.79</v>
      </c>
      <c r="D38" s="14" t="n">
        <f aca="false">IFERROR(C38/B38,0)</f>
        <v>0.170031634489463</v>
      </c>
      <c r="E38" s="13" t="n">
        <f aca="false">SUMIF(Orders_Clean!$E$2:$E$832,A38,Orders_Clean!$J$2:$J$832)</f>
        <v>96</v>
      </c>
    </row>
    <row r="39" customFormat="false" ht="15" hidden="false" customHeight="false" outlineLevel="0" collapsed="false">
      <c r="A39" s="15" t="s">
        <v>125</v>
      </c>
      <c r="B39" s="13" t="n">
        <f aca="false">SUMIF(Orders_Clean!$E$2:$E$832,A39,Orders_Clean!$N$2:$N$832)</f>
        <v>109066.65</v>
      </c>
      <c r="C39" s="13" t="n">
        <f aca="false">SUMIF(Orders_Clean!$E$2:$E$832,A39,Orders_Clean!$O$2:$O$832)</f>
        <v>47695.45</v>
      </c>
      <c r="D39" s="14" t="n">
        <f aca="false">IFERROR(C39/B39,0)</f>
        <v>0.437305537485565</v>
      </c>
      <c r="E39" s="13" t="n">
        <f aca="false">SUMIF(Orders_Clean!$E$2:$E$832,A39,Orders_Clean!$J$2:$J$832)</f>
        <v>88</v>
      </c>
    </row>
    <row r="40" customFormat="false" ht="15" hidden="false" customHeight="false" outlineLevel="0" collapsed="false">
      <c r="A40" s="15" t="s">
        <v>460</v>
      </c>
      <c r="B40" s="13" t="n">
        <f aca="false">SUMIF(Orders_Clean!$E$2:$E$832,A40,Orders_Clean!$N$2:$N$832)</f>
        <v>142120</v>
      </c>
      <c r="C40" s="13" t="n">
        <f aca="false">SUMIF(Orders_Clean!$E$2:$E$832,A40,Orders_Clean!$O$2:$O$832)</f>
        <v>51777.58</v>
      </c>
      <c r="D40" s="14" t="n">
        <f aca="false">IFERROR(C40/B40,0)</f>
        <v>0.364322966507177</v>
      </c>
      <c r="E40" s="13" t="n">
        <f aca="false">SUMIF(Orders_Clean!$E$2:$E$832,A40,Orders_Clean!$J$2:$J$832)</f>
        <v>102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1505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42</v>
      </c>
      <c r="B3" s="3" t="s">
        <v>38</v>
      </c>
      <c r="C3" s="3" t="s">
        <v>39</v>
      </c>
      <c r="D3" s="3" t="s">
        <v>1497</v>
      </c>
      <c r="E3" s="3" t="s">
        <v>1506</v>
      </c>
      <c r="F3" s="3" t="s">
        <v>1507</v>
      </c>
    </row>
    <row r="4" customFormat="false" ht="15" hidden="false" customHeight="false" outlineLevel="0" collapsed="false">
      <c r="A4" s="15" t="s">
        <v>1508</v>
      </c>
      <c r="B4" s="13" t="n">
        <f aca="false">SUMIF(Orders_Clean!$R$2:$R$832,A4,Orders_Clean!$N$2:$N$832)</f>
        <v>1140047.6</v>
      </c>
      <c r="C4" s="13" t="n">
        <f aca="false">SUMIF(Orders_Clean!$R$2:$R$832,A4,Orders_Clean!$O$2:$O$832)</f>
        <v>452473.8</v>
      </c>
      <c r="D4" s="14" t="n">
        <f aca="false">IFERROR(C4/B4,0)</f>
        <v>0.396890270195736</v>
      </c>
      <c r="E4" s="13" t="n">
        <f aca="false">COUNTIF(Orders_Clean!$R$2:$R$832,A4)</f>
        <v>79</v>
      </c>
      <c r="F4" s="17"/>
    </row>
    <row r="5" customFormat="false" ht="15" hidden="false" customHeight="false" outlineLevel="0" collapsed="false">
      <c r="A5" s="15" t="s">
        <v>1509</v>
      </c>
      <c r="B5" s="13" t="n">
        <f aca="false">SUMIF(Orders_Clean!$R$2:$R$832,A5,Orders_Clean!$N$2:$N$832)</f>
        <v>683992.8</v>
      </c>
      <c r="C5" s="13" t="n">
        <f aca="false">SUMIF(Orders_Clean!$R$2:$R$832,A5,Orders_Clean!$O$2:$O$832)</f>
        <v>303170.61</v>
      </c>
      <c r="D5" s="14" t="n">
        <f aca="false">IFERROR(C5/B5,0)</f>
        <v>0.443236551612824</v>
      </c>
      <c r="E5" s="13" t="n">
        <f aca="false">COUNTIF(Orders_Clean!$R$2:$R$832,A5)</f>
        <v>54</v>
      </c>
      <c r="F5" s="14" t="n">
        <f aca="false">IFERROR((B5-B4)/B4,0)</f>
        <v>-0.400031367111338</v>
      </c>
    </row>
    <row r="6" customFormat="false" ht="15" hidden="false" customHeight="false" outlineLevel="0" collapsed="false">
      <c r="A6" s="15" t="s">
        <v>1510</v>
      </c>
      <c r="B6" s="13" t="n">
        <f aca="false">SUMIF(Orders_Clean!$R$2:$R$832,A6,Orders_Clean!$N$2:$N$832)</f>
        <v>717313.85</v>
      </c>
      <c r="C6" s="13" t="n">
        <f aca="false">SUMIF(Orders_Clean!$R$2:$R$832,A6,Orders_Clean!$O$2:$O$832)</f>
        <v>286467.1</v>
      </c>
      <c r="D6" s="14" t="n">
        <f aca="false">IFERROR(C6/B6,0)</f>
        <v>0.399360893422036</v>
      </c>
      <c r="E6" s="13" t="n">
        <f aca="false">COUNTIF(Orders_Clean!$R$2:$R$832,A6)</f>
        <v>65</v>
      </c>
      <c r="F6" s="14" t="n">
        <f aca="false">IFERROR((B6-B5)/B5,0)</f>
        <v>0.0487154981748345</v>
      </c>
    </row>
    <row r="7" customFormat="false" ht="15" hidden="false" customHeight="false" outlineLevel="0" collapsed="false">
      <c r="A7" s="15" t="s">
        <v>1511</v>
      </c>
      <c r="B7" s="13" t="n">
        <f aca="false">SUMIF(Orders_Clean!$R$2:$R$832,A7,Orders_Clean!$N$2:$N$832)</f>
        <v>894428.6</v>
      </c>
      <c r="C7" s="13" t="n">
        <f aca="false">SUMIF(Orders_Clean!$R$2:$R$832,A7,Orders_Clean!$O$2:$O$832)</f>
        <v>341269.37</v>
      </c>
      <c r="D7" s="14" t="n">
        <f aca="false">IFERROR(C7/B7,0)</f>
        <v>0.381550153919497</v>
      </c>
      <c r="E7" s="13" t="n">
        <f aca="false">COUNTIF(Orders_Clean!$R$2:$R$832,A7)</f>
        <v>64</v>
      </c>
      <c r="F7" s="14" t="n">
        <f aca="false">IFERROR((B7-B6)/B6,0)</f>
        <v>0.246913885741925</v>
      </c>
    </row>
    <row r="8" customFormat="false" ht="15" hidden="false" customHeight="false" outlineLevel="0" collapsed="false">
      <c r="A8" s="15" t="s">
        <v>1512</v>
      </c>
      <c r="B8" s="13" t="n">
        <f aca="false">SUMIF(Orders_Clean!$R$2:$R$832,A8,Orders_Clean!$N$2:$N$832)</f>
        <v>1116329.15</v>
      </c>
      <c r="C8" s="13" t="n">
        <f aca="false">SUMIF(Orders_Clean!$R$2:$R$832,A8,Orders_Clean!$O$2:$O$832)</f>
        <v>427671.22</v>
      </c>
      <c r="D8" s="14" t="n">
        <f aca="false">IFERROR(C8/B8,0)</f>
        <v>0.383104947138575</v>
      </c>
      <c r="E8" s="13" t="n">
        <f aca="false">COUNTIF(Orders_Clean!$R$2:$R$832,A8)</f>
        <v>81</v>
      </c>
      <c r="F8" s="14" t="n">
        <f aca="false">IFERROR((B8-B7)/B7,0)</f>
        <v>0.248091966200544</v>
      </c>
    </row>
    <row r="9" customFormat="false" ht="15" hidden="false" customHeight="false" outlineLevel="0" collapsed="false">
      <c r="A9" s="15" t="s">
        <v>1513</v>
      </c>
      <c r="B9" s="13" t="n">
        <f aca="false">SUMIF(Orders_Clean!$R$2:$R$832,A9,Orders_Clean!$N$2:$N$832)</f>
        <v>482527.9</v>
      </c>
      <c r="C9" s="13" t="n">
        <f aca="false">SUMIF(Orders_Clean!$R$2:$R$832,A9,Orders_Clean!$O$2:$O$832)</f>
        <v>195234.5</v>
      </c>
      <c r="D9" s="14" t="n">
        <f aca="false">IFERROR(C9/B9,0)</f>
        <v>0.404607692114798</v>
      </c>
      <c r="E9" s="13" t="n">
        <f aca="false">COUNTIF(Orders_Clean!$R$2:$R$832,A9)</f>
        <v>66</v>
      </c>
      <c r="F9" s="14" t="n">
        <f aca="false">IFERROR((B9-B8)/B8,0)</f>
        <v>-0.567754814966536</v>
      </c>
    </row>
    <row r="10" customFormat="false" ht="15" hidden="false" customHeight="false" outlineLevel="0" collapsed="false">
      <c r="A10" s="15" t="s">
        <v>1514</v>
      </c>
      <c r="B10" s="13" t="n">
        <f aca="false">SUMIF(Orders_Clean!$R$2:$R$832,A10,Orders_Clean!$N$2:$N$832)</f>
        <v>707292.25</v>
      </c>
      <c r="C10" s="13" t="n">
        <f aca="false">SUMIF(Orders_Clean!$R$2:$R$832,A10,Orders_Clean!$O$2:$O$832)</f>
        <v>268481.96</v>
      </c>
      <c r="D10" s="14" t="n">
        <f aca="false">IFERROR(C10/B10,0)</f>
        <v>0.379591265138279</v>
      </c>
      <c r="E10" s="13" t="n">
        <f aca="false">COUNTIF(Orders_Clean!$R$2:$R$832,A10)</f>
        <v>84</v>
      </c>
      <c r="F10" s="14" t="n">
        <f aca="false">IFERROR((B10-B9)/B9,0)</f>
        <v>0.465805915056932</v>
      </c>
    </row>
    <row r="11" customFormat="false" ht="15" hidden="false" customHeight="false" outlineLevel="0" collapsed="false">
      <c r="A11" s="15" t="s">
        <v>1515</v>
      </c>
      <c r="B11" s="13" t="n">
        <f aca="false">SUMIF(Orders_Clean!$R$2:$R$832,A11,Orders_Clean!$N$2:$N$832)</f>
        <v>1001777.45</v>
      </c>
      <c r="C11" s="13" t="n">
        <f aca="false">SUMIF(Orders_Clean!$R$2:$R$832,A11,Orders_Clean!$O$2:$O$832)</f>
        <v>373029.84</v>
      </c>
      <c r="D11" s="14" t="n">
        <f aca="false">IFERROR(C11/B11,0)</f>
        <v>0.372367974543647</v>
      </c>
      <c r="E11" s="13" t="n">
        <f aca="false">COUNTIF(Orders_Clean!$R$2:$R$832,A11)</f>
        <v>74</v>
      </c>
      <c r="F11" s="14" t="n">
        <f aca="false">IFERROR((B11-B10)/B10,0)</f>
        <v>0.416355756761084</v>
      </c>
    </row>
    <row r="12" customFormat="false" ht="15" hidden="false" customHeight="false" outlineLevel="0" collapsed="false">
      <c r="A12" s="15" t="s">
        <v>1516</v>
      </c>
      <c r="B12" s="13" t="n">
        <f aca="false">SUMIF(Orders_Clean!$R$2:$R$832,A12,Orders_Clean!$N$2:$N$832)</f>
        <v>899552.5</v>
      </c>
      <c r="C12" s="13" t="n">
        <f aca="false">SUMIF(Orders_Clean!$R$2:$R$832,A12,Orders_Clean!$O$2:$O$832)</f>
        <v>366243.01</v>
      </c>
      <c r="D12" s="14" t="n">
        <f aca="false">IFERROR(C12/B12,0)</f>
        <v>0.407139116393985</v>
      </c>
      <c r="E12" s="13" t="n">
        <f aca="false">COUNTIF(Orders_Clean!$R$2:$R$832,A12)</f>
        <v>66</v>
      </c>
      <c r="F12" s="14" t="n">
        <f aca="false">IFERROR((B12-B11)/B11,0)</f>
        <v>-0.10204357265179</v>
      </c>
    </row>
    <row r="13" customFormat="false" ht="15" hidden="false" customHeight="false" outlineLevel="0" collapsed="false">
      <c r="A13" s="15" t="s">
        <v>1517</v>
      </c>
      <c r="B13" s="13" t="n">
        <f aca="false">SUMIF(Orders_Clean!$R$2:$R$832,A13,Orders_Clean!$N$2:$N$832)</f>
        <v>1474655</v>
      </c>
      <c r="C13" s="13" t="n">
        <f aca="false">SUMIF(Orders_Clean!$R$2:$R$832,A13,Orders_Clean!$O$2:$O$832)</f>
        <v>616824.91</v>
      </c>
      <c r="D13" s="14" t="n">
        <f aca="false">IFERROR(C13/B13,0)</f>
        <v>0.418284215630097</v>
      </c>
      <c r="E13" s="13" t="n">
        <f aca="false">COUNTIF(Orders_Clean!$R$2:$R$832,A13)</f>
        <v>64</v>
      </c>
      <c r="F13" s="14" t="n">
        <f aca="false">IFERROR((B13-B12)/B12,0)</f>
        <v>0.639320662218158</v>
      </c>
    </row>
    <row r="14" customFormat="false" ht="15" hidden="false" customHeight="false" outlineLevel="0" collapsed="false">
      <c r="A14" s="15" t="s">
        <v>1518</v>
      </c>
      <c r="B14" s="13" t="n">
        <f aca="false">SUMIF(Orders_Clean!$R$2:$R$832,A14,Orders_Clean!$N$2:$N$832)</f>
        <v>1477039.1</v>
      </c>
      <c r="C14" s="13" t="n">
        <f aca="false">SUMIF(Orders_Clean!$R$2:$R$832,A14,Orders_Clean!$O$2:$O$832)</f>
        <v>595722.02</v>
      </c>
      <c r="D14" s="14" t="n">
        <f aca="false">IFERROR(C14/B14,0)</f>
        <v>0.403321767175967</v>
      </c>
      <c r="E14" s="13" t="n">
        <f aca="false">COUNTIF(Orders_Clean!$R$2:$R$832,A14)</f>
        <v>65</v>
      </c>
      <c r="F14" s="14" t="n">
        <f aca="false">IFERROR((B14-B13)/B13,0)</f>
        <v>0.00161671713044752</v>
      </c>
    </row>
    <row r="15" customFormat="false" ht="15" hidden="false" customHeight="false" outlineLevel="0" collapsed="false">
      <c r="A15" s="15" t="s">
        <v>1519</v>
      </c>
      <c r="B15" s="13" t="n">
        <f aca="false">SUMIF(Orders_Clean!$R$2:$R$832,A15,Orders_Clean!$N$2:$N$832)</f>
        <v>849806.85</v>
      </c>
      <c r="C15" s="13" t="n">
        <f aca="false">SUMIF(Orders_Clean!$R$2:$R$832,A15,Orders_Clean!$O$2:$O$832)</f>
        <v>340420.99</v>
      </c>
      <c r="D15" s="14" t="n">
        <f aca="false">IFERROR(C15/B15,0)</f>
        <v>0.400586309700846</v>
      </c>
      <c r="E15" s="13" t="n">
        <f aca="false">COUNTIF(Orders_Clean!$R$2:$R$832,A15)</f>
        <v>69</v>
      </c>
      <c r="F15" s="14" t="n">
        <f aca="false">IFERROR((B15-B14)/B14,0)</f>
        <v>-0.424655142846252</v>
      </c>
    </row>
    <row r="17" customFormat="false" ht="15" hidden="false" customHeight="false" outlineLevel="0" collapsed="false">
      <c r="A17" s="18" t="s">
        <v>1520</v>
      </c>
    </row>
    <row r="18" customFormat="false" ht="15" hidden="false" customHeight="false" outlineLevel="0" collapsed="false">
      <c r="A18" s="18" t="s">
        <v>1521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1522</v>
      </c>
      <c r="B1" s="1"/>
      <c r="C1" s="1"/>
      <c r="D1" s="1"/>
    </row>
    <row r="3" customFormat="false" ht="15" hidden="false" customHeight="false" outlineLevel="0" collapsed="false">
      <c r="A3" s="16" t="s">
        <v>1523</v>
      </c>
    </row>
    <row r="4" customFormat="false" ht="15" hidden="false" customHeight="false" outlineLevel="0" collapsed="false">
      <c r="A4" s="3" t="s">
        <v>33</v>
      </c>
      <c r="B4" s="3" t="s">
        <v>38</v>
      </c>
      <c r="C4" s="3" t="s">
        <v>39</v>
      </c>
      <c r="D4" s="3" t="s">
        <v>1506</v>
      </c>
    </row>
    <row r="5" customFormat="false" ht="15" hidden="false" customHeight="false" outlineLevel="0" collapsed="false">
      <c r="A5" s="15" t="s">
        <v>51</v>
      </c>
      <c r="B5" s="13" t="n">
        <f aca="false">SUMIF(Orders_Clean!$I$2:$I$832,A5,Orders_Clean!$N$2:$N$832)</f>
        <v>7268522.5</v>
      </c>
      <c r="C5" s="13" t="n">
        <f aca="false">SUMIF(Orders_Clean!$I$2:$I$832,A5,Orders_Clean!$O$2:$O$832)</f>
        <v>2963859.84</v>
      </c>
      <c r="D5" s="13" t="n">
        <f aca="false">COUNTIF(Orders_Clean!$I$2:$I$832,A5)</f>
        <v>527</v>
      </c>
    </row>
    <row r="6" customFormat="false" ht="15" hidden="false" customHeight="false" outlineLevel="0" collapsed="false">
      <c r="A6" s="15" t="s">
        <v>75</v>
      </c>
      <c r="B6" s="13" t="n">
        <f aca="false">SUMIF(Orders_Clean!$I$2:$I$832,A6,Orders_Clean!$N$2:$N$832)</f>
        <v>4176240.55</v>
      </c>
      <c r="C6" s="13" t="n">
        <f aca="false">SUMIF(Orders_Clean!$I$2:$I$832,A6,Orders_Clean!$O$2:$O$832)</f>
        <v>1603149.49</v>
      </c>
      <c r="D6" s="13" t="n">
        <f aca="false">COUNTIF(Orders_Clean!$I$2:$I$832,A6)</f>
        <v>304</v>
      </c>
    </row>
    <row r="9" customFormat="false" ht="15" hidden="false" customHeight="false" outlineLevel="0" collapsed="false">
      <c r="A9" s="16" t="s">
        <v>1524</v>
      </c>
    </row>
    <row r="10" customFormat="false" ht="15" hidden="false" customHeight="false" outlineLevel="0" collapsed="false">
      <c r="A10" s="3" t="s">
        <v>27</v>
      </c>
      <c r="B10" s="3" t="s">
        <v>38</v>
      </c>
      <c r="C10" s="3" t="s">
        <v>39</v>
      </c>
      <c r="D10" s="3" t="s">
        <v>1506</v>
      </c>
    </row>
    <row r="11" customFormat="false" ht="15" hidden="false" customHeight="false" outlineLevel="0" collapsed="false">
      <c r="A11" s="15" t="s">
        <v>349</v>
      </c>
      <c r="B11" s="13" t="n">
        <f aca="false">SUMIF(Orders_Clean!$C$2:$C$832,A11,Orders_Clean!$N$2:$N$832)</f>
        <v>186845.8</v>
      </c>
      <c r="C11" s="13" t="n">
        <f aca="false">SUMIF(Orders_Clean!$C$2:$C$832,A11,Orders_Clean!$O$2:$O$832)</f>
        <v>91516.97</v>
      </c>
      <c r="D11" s="13" t="n">
        <f aca="false">COUNTIF(Orders_Clean!$C$2:$C$832,A11)</f>
        <v>9</v>
      </c>
    </row>
    <row r="12" customFormat="false" ht="15" hidden="false" customHeight="false" outlineLevel="0" collapsed="false">
      <c r="A12" s="15" t="s">
        <v>259</v>
      </c>
      <c r="B12" s="13" t="n">
        <f aca="false">SUMIF(Orders_Clean!$C$2:$C$832,A12,Orders_Clean!$N$2:$N$832)</f>
        <v>176530.25</v>
      </c>
      <c r="C12" s="13" t="n">
        <f aca="false">SUMIF(Orders_Clean!$C$2:$C$832,A12,Orders_Clean!$O$2:$O$832)</f>
        <v>74013.28</v>
      </c>
      <c r="D12" s="13" t="n">
        <f aca="false">COUNTIF(Orders_Clean!$C$2:$C$832,A12)</f>
        <v>8</v>
      </c>
    </row>
    <row r="13" customFormat="false" ht="15" hidden="false" customHeight="false" outlineLevel="0" collapsed="false">
      <c r="A13" s="15" t="s">
        <v>419</v>
      </c>
      <c r="B13" s="13" t="n">
        <f aca="false">SUMIF(Orders_Clean!$C$2:$C$832,A13,Orders_Clean!$N$2:$N$832)</f>
        <v>175950.9</v>
      </c>
      <c r="C13" s="13" t="n">
        <f aca="false">SUMIF(Orders_Clean!$C$2:$C$832,A13,Orders_Clean!$O$2:$O$832)</f>
        <v>65089.63</v>
      </c>
      <c r="D13" s="13" t="n">
        <f aca="false">COUNTIF(Orders_Clean!$C$2:$C$832,A13)</f>
        <v>12</v>
      </c>
    </row>
    <row r="14" customFormat="false" ht="15" hidden="false" customHeight="false" outlineLevel="0" collapsed="false">
      <c r="A14" s="15" t="s">
        <v>307</v>
      </c>
      <c r="B14" s="13" t="n">
        <f aca="false">SUMIF(Orders_Clean!$C$2:$C$832,A14,Orders_Clean!$N$2:$N$832)</f>
        <v>156580.25</v>
      </c>
      <c r="C14" s="13" t="n">
        <f aca="false">SUMIF(Orders_Clean!$C$2:$C$832,A14,Orders_Clean!$O$2:$O$832)</f>
        <v>64822.13</v>
      </c>
      <c r="D14" s="13" t="n">
        <f aca="false">COUNTIF(Orders_Clean!$C$2:$C$832,A14)</f>
        <v>9</v>
      </c>
    </row>
    <row r="15" customFormat="false" ht="15" hidden="false" customHeight="false" outlineLevel="0" collapsed="false">
      <c r="A15" s="15" t="s">
        <v>529</v>
      </c>
      <c r="B15" s="13" t="n">
        <f aca="false">SUMIF(Orders_Clean!$C$2:$C$832,A15,Orders_Clean!$N$2:$N$832)</f>
        <v>150953</v>
      </c>
      <c r="C15" s="13" t="n">
        <f aca="false">SUMIF(Orders_Clean!$C$2:$C$832,A15,Orders_Clean!$O$2:$O$832)</f>
        <v>73937.7</v>
      </c>
      <c r="D15" s="13" t="n">
        <f aca="false">COUNTIF(Orders_Clean!$C$2:$C$832,A15)</f>
        <v>9</v>
      </c>
    </row>
    <row r="16" customFormat="false" ht="15" hidden="false" customHeight="false" outlineLevel="0" collapsed="false">
      <c r="A16" s="15" t="s">
        <v>416</v>
      </c>
      <c r="B16" s="13" t="n">
        <f aca="false">SUMIF(Orders_Clean!$C$2:$C$832,A16,Orders_Clean!$N$2:$N$832)</f>
        <v>149620</v>
      </c>
      <c r="C16" s="13" t="n">
        <f aca="false">SUMIF(Orders_Clean!$C$2:$C$832,A16,Orders_Clean!$O$2:$O$832)</f>
        <v>79451.93</v>
      </c>
      <c r="D16" s="13" t="n">
        <f aca="false">COUNTIF(Orders_Clean!$C$2:$C$832,A16)</f>
        <v>9</v>
      </c>
    </row>
    <row r="17" customFormat="false" ht="15" hidden="false" customHeight="false" outlineLevel="0" collapsed="false">
      <c r="A17" s="15" t="s">
        <v>537</v>
      </c>
      <c r="B17" s="13" t="n">
        <f aca="false">SUMIF(Orders_Clean!$C$2:$C$832,A17,Orders_Clean!$N$2:$N$832)</f>
        <v>144274.85</v>
      </c>
      <c r="C17" s="13" t="n">
        <f aca="false">SUMIF(Orders_Clean!$C$2:$C$832,A17,Orders_Clean!$O$2:$O$832)</f>
        <v>46888.03</v>
      </c>
      <c r="D17" s="13" t="n">
        <f aca="false">COUNTIF(Orders_Clean!$C$2:$C$832,A17)</f>
        <v>6</v>
      </c>
    </row>
    <row r="18" customFormat="false" ht="15" hidden="false" customHeight="false" outlineLevel="0" collapsed="false">
      <c r="A18" s="15" t="s">
        <v>659</v>
      </c>
      <c r="B18" s="13" t="n">
        <f aca="false">SUMIF(Orders_Clean!$C$2:$C$832,A18,Orders_Clean!$N$2:$N$832)</f>
        <v>138295.55</v>
      </c>
      <c r="C18" s="13" t="n">
        <f aca="false">SUMIF(Orders_Clean!$C$2:$C$832,A18,Orders_Clean!$O$2:$O$832)</f>
        <v>58353.49</v>
      </c>
      <c r="D18" s="13" t="n">
        <f aca="false">COUNTIF(Orders_Clean!$C$2:$C$832,A18)</f>
        <v>7</v>
      </c>
    </row>
    <row r="19" customFormat="false" ht="15" hidden="false" customHeight="false" outlineLevel="0" collapsed="false">
      <c r="A19" s="15" t="s">
        <v>502</v>
      </c>
      <c r="B19" s="13" t="n">
        <f aca="false">SUMIF(Orders_Clean!$C$2:$C$832,A19,Orders_Clean!$N$2:$N$832)</f>
        <v>132291.75</v>
      </c>
      <c r="C19" s="13" t="n">
        <f aca="false">SUMIF(Orders_Clean!$C$2:$C$832,A19,Orders_Clean!$O$2:$O$832)</f>
        <v>48183.49</v>
      </c>
      <c r="D19" s="13" t="n">
        <f aca="false">COUNTIF(Orders_Clean!$C$2:$C$832,A19)</f>
        <v>10</v>
      </c>
    </row>
    <row r="20" customFormat="false" ht="15" hidden="false" customHeight="false" outlineLevel="0" collapsed="false">
      <c r="A20" s="15" t="s">
        <v>99</v>
      </c>
      <c r="B20" s="13" t="n">
        <f aca="false">SUMIF(Orders_Clean!$C$2:$C$832,A20,Orders_Clean!$N$2:$N$832)</f>
        <v>130602.9</v>
      </c>
      <c r="C20" s="13" t="n">
        <f aca="false">SUMIF(Orders_Clean!$C$2:$C$832,A20,Orders_Clean!$O$2:$O$832)</f>
        <v>42343.37</v>
      </c>
      <c r="D20" s="13" t="n">
        <f aca="false">COUNTIF(Orders_Clean!$C$2:$C$832,A20)</f>
        <v>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2026-09-26T20:00:53Z</dcterms:created>
  <dc:creator>openpyxl</dc:creator>
  <dc:description/>
  <dc:language>en-US</dc:language>
  <cp:lastModifiedBy/>
  <dcterms:modified xsi:type="dcterms:W3CDTF">2026-09-26T20:00:57Z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